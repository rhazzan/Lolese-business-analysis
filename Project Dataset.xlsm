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Excel Worksheets\"/>
    </mc:Choice>
  </mc:AlternateContent>
  <xr:revisionPtr revIDLastSave="0" documentId="13_ncr:1_{51D49468-970D-4ACC-897F-ED115BBF7A6D}" xr6:coauthVersionLast="47" xr6:coauthVersionMax="47" xr10:uidLastSave="{00000000-0000-0000-0000-000000000000}"/>
  <bookViews>
    <workbookView xWindow="-108" yWindow="-108" windowWidth="23256" windowHeight="12456" activeTab="2" xr2:uid="{E0124E6D-14BE-4D44-B554-4F1D4E6535C1}"/>
  </bookViews>
  <sheets>
    <sheet name="Form" sheetId="1" r:id="rId1"/>
    <sheet name="Dataset" sheetId="2" state="hidden" r:id="rId2"/>
    <sheet name="Dataset 2" sheetId="3" r:id="rId3"/>
    <sheet name="Sheet1" sheetId="4" state="hidden" r:id="rId4"/>
  </sheets>
  <functionGroups builtInGroupCount="19"/>
  <definedNames>
    <definedName name="_xlnm._FilterDatabase" localSheetId="1" hidden="1">Dataset!$AO$2:$AU$105</definedName>
    <definedName name="_xlnm._FilterDatabase" localSheetId="2" hidden="1">'Dataset 2'!$A$1:$W$172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2" l="1"/>
  <c r="P3" i="2"/>
  <c r="P7" i="2"/>
  <c r="P11" i="2"/>
  <c r="P15" i="2"/>
  <c r="P19" i="2"/>
  <c r="P23" i="2"/>
  <c r="P27" i="2"/>
  <c r="P31" i="2"/>
  <c r="P35" i="2"/>
  <c r="P39" i="2"/>
  <c r="P43" i="2"/>
  <c r="P47" i="2"/>
  <c r="P55" i="2"/>
  <c r="P59" i="2"/>
  <c r="P63" i="2"/>
  <c r="P67" i="2"/>
  <c r="P71" i="2"/>
  <c r="P75" i="2"/>
  <c r="P79" i="2"/>
  <c r="P83" i="2"/>
  <c r="P87" i="2"/>
  <c r="P91" i="2"/>
  <c r="P95" i="2"/>
  <c r="P99" i="2"/>
  <c r="P4" i="2"/>
  <c r="P8" i="2"/>
  <c r="P12" i="2"/>
  <c r="P16" i="2"/>
  <c r="P20" i="2"/>
  <c r="P24" i="2"/>
  <c r="P28" i="2"/>
  <c r="P32" i="2"/>
  <c r="P36" i="2"/>
  <c r="P40" i="2"/>
  <c r="P44" i="2"/>
  <c r="P48" i="2"/>
  <c r="P52" i="2"/>
  <c r="P56" i="2"/>
  <c r="P60" i="2"/>
  <c r="P64" i="2"/>
  <c r="P68" i="2"/>
  <c r="P72" i="2"/>
  <c r="P76" i="2"/>
  <c r="P80" i="2"/>
  <c r="P84" i="2"/>
  <c r="P88" i="2"/>
  <c r="P92" i="2"/>
  <c r="P96" i="2"/>
  <c r="P100" i="2"/>
  <c r="P104" i="2"/>
  <c r="P5" i="2"/>
  <c r="P9" i="2"/>
  <c r="P13" i="2"/>
  <c r="P17" i="2"/>
  <c r="P21" i="2"/>
  <c r="P25" i="2"/>
  <c r="P29" i="2"/>
  <c r="P33" i="2"/>
  <c r="P37" i="2"/>
  <c r="P41" i="2"/>
  <c r="P45" i="2"/>
  <c r="P49" i="2"/>
  <c r="P53" i="2"/>
  <c r="P57" i="2"/>
  <c r="P61" i="2"/>
  <c r="P65" i="2"/>
  <c r="P69" i="2"/>
  <c r="P73" i="2"/>
  <c r="P77" i="2"/>
  <c r="P81" i="2"/>
  <c r="P85" i="2"/>
  <c r="P89" i="2"/>
  <c r="P93" i="2"/>
  <c r="P97" i="2"/>
  <c r="P101" i="2"/>
  <c r="P105" i="2"/>
  <c r="P6" i="2"/>
  <c r="P10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4" i="2"/>
  <c r="P98" i="2"/>
  <c r="P102" i="2"/>
  <c r="P51" i="2"/>
  <c r="P103" i="2"/>
  <c r="Q19" i="2"/>
  <c r="Q37" i="2"/>
  <c r="Q78" i="2"/>
  <c r="Q55" i="2"/>
  <c r="Q8" i="2"/>
  <c r="Q76" i="2"/>
  <c r="Q41" i="2"/>
  <c r="Q105" i="2"/>
  <c r="Q66" i="2"/>
  <c r="Q43" i="2"/>
  <c r="Q48" i="2"/>
  <c r="Q64" i="2"/>
  <c r="Q29" i="2"/>
  <c r="Q93" i="2"/>
  <c r="Q54" i="2"/>
  <c r="Q11" i="2"/>
  <c r="Q63" i="2"/>
  <c r="Q16" i="2"/>
  <c r="Q84" i="2"/>
  <c r="Q49" i="2"/>
  <c r="Q10" i="2"/>
  <c r="Q74" i="2"/>
  <c r="Q35" i="2"/>
  <c r="Q4" i="2"/>
  <c r="Q88" i="2"/>
  <c r="Q14" i="2"/>
  <c r="Q99" i="2"/>
  <c r="Q69" i="2"/>
  <c r="Q7" i="2"/>
  <c r="Q71" i="2"/>
  <c r="Q24" i="2"/>
  <c r="Q92" i="2"/>
  <c r="Q57" i="2"/>
  <c r="Q18" i="2"/>
  <c r="Q82" i="2"/>
  <c r="Q59" i="2"/>
  <c r="Q12" i="2"/>
  <c r="Q80" i="2"/>
  <c r="Q45" i="2"/>
  <c r="Q6" i="2"/>
  <c r="Q70" i="2"/>
  <c r="Q15" i="2"/>
  <c r="Q79" i="2"/>
  <c r="Q32" i="2"/>
  <c r="Q100" i="2"/>
  <c r="Q65" i="2"/>
  <c r="Q26" i="2"/>
  <c r="Q90" i="2"/>
  <c r="Q51" i="2"/>
  <c r="Q20" i="2"/>
  <c r="Q21" i="2"/>
  <c r="Q46" i="2"/>
  <c r="Q56" i="2"/>
  <c r="Q101" i="2"/>
  <c r="Q23" i="2"/>
  <c r="Q87" i="2"/>
  <c r="Q40" i="2"/>
  <c r="Q9" i="2"/>
  <c r="Q73" i="2"/>
  <c r="Q34" i="2"/>
  <c r="Q98" i="2"/>
  <c r="Q75" i="2"/>
  <c r="Q28" i="2"/>
  <c r="Q96" i="2"/>
  <c r="Q61" i="2"/>
  <c r="Q22" i="2"/>
  <c r="Q86" i="2"/>
  <c r="Q31" i="2"/>
  <c r="Q95" i="2"/>
  <c r="Q52" i="2"/>
  <c r="Q17" i="2"/>
  <c r="Q81" i="2"/>
  <c r="Q42" i="2"/>
  <c r="Q2" i="2"/>
  <c r="Q67" i="2"/>
  <c r="Q36" i="2"/>
  <c r="Q53" i="2"/>
  <c r="Q62" i="2"/>
  <c r="Q5" i="2"/>
  <c r="Q30" i="2"/>
  <c r="Q39" i="2"/>
  <c r="Q103" i="2"/>
  <c r="Q60" i="2"/>
  <c r="Q25" i="2"/>
  <c r="Q89" i="2"/>
  <c r="Q50" i="2"/>
  <c r="Q27" i="2"/>
  <c r="Q91" i="2"/>
  <c r="Q44" i="2"/>
  <c r="Q13" i="2"/>
  <c r="Q77" i="2"/>
  <c r="Q38" i="2"/>
  <c r="Q102" i="2"/>
  <c r="Q47" i="2"/>
  <c r="Q104" i="2"/>
  <c r="Q68" i="2"/>
  <c r="Q33" i="2"/>
  <c r="Q97" i="2"/>
  <c r="Q58" i="2"/>
  <c r="Q3" i="2"/>
  <c r="Q83" i="2"/>
  <c r="Q72" i="2"/>
  <c r="Q85" i="2"/>
  <c r="Q94" i="2"/>
</calcChain>
</file>

<file path=xl/sharedStrings.xml><?xml version="1.0" encoding="utf-8"?>
<sst xmlns="http://schemas.openxmlformats.org/spreadsheetml/2006/main" count="1961" uniqueCount="290">
  <si>
    <t>Date</t>
  </si>
  <si>
    <t>Date of Usage</t>
  </si>
  <si>
    <t>Name/Address</t>
  </si>
  <si>
    <t>Request</t>
  </si>
  <si>
    <t>Amount</t>
  </si>
  <si>
    <t>Deposit</t>
  </si>
  <si>
    <t>Lolese Bookings Form</t>
  </si>
  <si>
    <t>Date:</t>
  </si>
  <si>
    <t>Request:</t>
  </si>
  <si>
    <t>Amount:</t>
  </si>
  <si>
    <t>Deposit:</t>
  </si>
  <si>
    <t>After V10,Ile KUKU,Yellow House</t>
  </si>
  <si>
    <t>Olowolagba</t>
  </si>
  <si>
    <t>Mr Oluwatimi Barry estate side</t>
  </si>
  <si>
    <t>Tosin Mech</t>
  </si>
  <si>
    <t>Daddy Jummy</t>
  </si>
  <si>
    <t>Odosenlu rental for igbeba church</t>
  </si>
  <si>
    <t>Monsur Rentals</t>
  </si>
  <si>
    <t>Tola Rentals(Motors)</t>
  </si>
  <si>
    <t>D.Progressive Rentals</t>
  </si>
  <si>
    <t>Sebiotimo Rentals</t>
  </si>
  <si>
    <t>Party Planner / ACE Rentals</t>
  </si>
  <si>
    <t>Anuoluwapo coop Police SCH. Igbeba</t>
  </si>
  <si>
    <t>Baba Asiata Osimore</t>
  </si>
  <si>
    <t>Oreagba For Adefisan</t>
  </si>
  <si>
    <t>Paramont Cinema</t>
  </si>
  <si>
    <t>st.anthony sch.</t>
  </si>
  <si>
    <t>Lado Badmus</t>
  </si>
  <si>
    <t>Tebliq</t>
  </si>
  <si>
    <t>Eruobodo-Idomila</t>
  </si>
  <si>
    <t>Lado for Delumi</t>
  </si>
  <si>
    <t>mr lucky for st.anthony</t>
  </si>
  <si>
    <t>Osimore Mosque</t>
  </si>
  <si>
    <t>Eruobodo House</t>
  </si>
  <si>
    <t>Daddy Omotayo G.R.A</t>
  </si>
  <si>
    <t>Foodseller For Osinubi</t>
  </si>
  <si>
    <t>Delux water</t>
  </si>
  <si>
    <t>2 festival,2 tables</t>
  </si>
  <si>
    <t>Yemi Stateman for Onirugba Road</t>
  </si>
  <si>
    <t>Onile Rentals</t>
  </si>
  <si>
    <t>100 Guest</t>
  </si>
  <si>
    <t>Bar Rentals</t>
  </si>
  <si>
    <t xml:space="preserve">Alhaji Nee Badmus </t>
  </si>
  <si>
    <t>Aud Event Brother for Osimore Isale</t>
  </si>
  <si>
    <t>Oil Osinubi</t>
  </si>
  <si>
    <t>200 Guest</t>
  </si>
  <si>
    <t>Fun Event Osinubi</t>
  </si>
  <si>
    <t>Lado for Ogbogbo</t>
  </si>
  <si>
    <t>Mr Adifor Area</t>
  </si>
  <si>
    <t>Yemi Station for Mahdiyyat</t>
  </si>
  <si>
    <t>Iya Korede</t>
  </si>
  <si>
    <t>Onile</t>
  </si>
  <si>
    <t>Oreagba Osinubi</t>
  </si>
  <si>
    <t>Tele for G.R.A</t>
  </si>
  <si>
    <t>Sunday Customer</t>
  </si>
  <si>
    <t>Oreagba Osinubi(Baba Ibeji)</t>
  </si>
  <si>
    <t>Bro Badmus</t>
  </si>
  <si>
    <t>Delux Water</t>
  </si>
  <si>
    <t>1 Royal</t>
  </si>
  <si>
    <t>sunkanmi for Tobe mosque</t>
  </si>
  <si>
    <t>Mr Kehinde for Itoro hall</t>
  </si>
  <si>
    <t>Police School Igbe Road</t>
  </si>
  <si>
    <t>1 Festival</t>
  </si>
  <si>
    <t>Ola Rental</t>
  </si>
  <si>
    <t>3 Fans</t>
  </si>
  <si>
    <t>Progressive Rentals</t>
  </si>
  <si>
    <t>80 Tables</t>
  </si>
  <si>
    <t>Mum Nurse</t>
  </si>
  <si>
    <t>Ola Rentals</t>
  </si>
  <si>
    <t>Bro Deji</t>
  </si>
  <si>
    <t>Hotel</t>
  </si>
  <si>
    <t>2 Drum</t>
  </si>
  <si>
    <t>Parol</t>
  </si>
  <si>
    <t>House Neighbour</t>
  </si>
  <si>
    <t>Omo Mama Rice</t>
  </si>
  <si>
    <t>Lawyers House Beside Sulaimon</t>
  </si>
  <si>
    <t xml:space="preserve">Oil Man </t>
  </si>
  <si>
    <t>St anthony School</t>
  </si>
  <si>
    <t>alhaja Balogun</t>
  </si>
  <si>
    <t>Sister Oreagba</t>
  </si>
  <si>
    <t>Health unknown</t>
  </si>
  <si>
    <t>Okuwobi Family</t>
  </si>
  <si>
    <t>Stekson eye clinic</t>
  </si>
  <si>
    <t>okuwobi Family</t>
  </si>
  <si>
    <t>Tele's Neighbour</t>
  </si>
  <si>
    <t>A.U.D society</t>
  </si>
  <si>
    <t>Daddy Jummy House</t>
  </si>
  <si>
    <t>Olori Oba's House</t>
  </si>
  <si>
    <t>Iya Lekan</t>
  </si>
  <si>
    <t>Isiaka Abass</t>
  </si>
  <si>
    <t>Iya Oni Cement</t>
  </si>
  <si>
    <t>Mummy Mariam</t>
  </si>
  <si>
    <t>Olubajo</t>
  </si>
  <si>
    <t>Alhaja Balogun</t>
  </si>
  <si>
    <t>sc Teacher for Festac</t>
  </si>
  <si>
    <t>Paramount cinema</t>
  </si>
  <si>
    <t>Pleasure from Imowo</t>
  </si>
  <si>
    <t>Oreagba Adefisan</t>
  </si>
  <si>
    <t>Muslim Units Hall</t>
  </si>
  <si>
    <t>Osinubi Office Pastor</t>
  </si>
  <si>
    <t xml:space="preserve">Tipper Garage ibadan </t>
  </si>
  <si>
    <t>Azeez For Arokem Rentals</t>
  </si>
  <si>
    <t>70 tables</t>
  </si>
  <si>
    <t>St Anthony</t>
  </si>
  <si>
    <t>1 Fan</t>
  </si>
  <si>
    <t>IBO Tablort road</t>
  </si>
  <si>
    <t>Mama Ijasi</t>
  </si>
  <si>
    <t>Otunba Oreagba</t>
  </si>
  <si>
    <t>Baba ajare Rental</t>
  </si>
  <si>
    <t>36 Plastic Table tables</t>
  </si>
  <si>
    <t>Bro Surju family</t>
  </si>
  <si>
    <t>Olugbode's Family</t>
  </si>
  <si>
    <t>Otunba Oreabga</t>
  </si>
  <si>
    <t>Progressive Rental</t>
  </si>
  <si>
    <t>Abo Rental</t>
  </si>
  <si>
    <t>film Maker</t>
  </si>
  <si>
    <t>4 Royal,2 Iron Table</t>
  </si>
  <si>
    <t>Baba Ojo</t>
  </si>
  <si>
    <t>Name</t>
  </si>
  <si>
    <t>Chair</t>
  </si>
  <si>
    <t>Plastic Table</t>
  </si>
  <si>
    <t>Iron Table</t>
  </si>
  <si>
    <t>Drum</t>
  </si>
  <si>
    <t>Fan</t>
  </si>
  <si>
    <t>Bridal</t>
  </si>
  <si>
    <t>Royal</t>
  </si>
  <si>
    <t>Royal Festival</t>
  </si>
  <si>
    <t>Festival</t>
  </si>
  <si>
    <t>300 Guest</t>
  </si>
  <si>
    <t>600 Guest</t>
  </si>
  <si>
    <t>Plastic Table and Cover</t>
  </si>
  <si>
    <t>Iron Table and Cover</t>
  </si>
  <si>
    <t>Generator</t>
  </si>
  <si>
    <t>Name:</t>
  </si>
  <si>
    <t>QTY:</t>
  </si>
  <si>
    <t>Date Of Usage</t>
  </si>
  <si>
    <t>Date Of Usage:</t>
  </si>
  <si>
    <t>Date Of usage</t>
  </si>
  <si>
    <t>1000 Guest</t>
  </si>
  <si>
    <t>Pleasure Rental</t>
  </si>
  <si>
    <t>Chair and Cover</t>
  </si>
  <si>
    <t>Rabiu Family Irewon</t>
  </si>
  <si>
    <t>Opp.Zipest Awokoya</t>
  </si>
  <si>
    <t>Bar Rental</t>
  </si>
  <si>
    <t>Oreagba Bread</t>
  </si>
  <si>
    <t>Mama Bonojo</t>
  </si>
  <si>
    <t>Banwa Bonojo</t>
  </si>
  <si>
    <t>Mama Bolt</t>
  </si>
  <si>
    <t>Oshinubi Mosque</t>
  </si>
  <si>
    <t>Uncle sarafa Sule</t>
  </si>
  <si>
    <t>Oreagba Demola</t>
  </si>
  <si>
    <t>Abo Ejire</t>
  </si>
  <si>
    <t>Ibo Eyen</t>
  </si>
  <si>
    <t>Oreagba Saromi</t>
  </si>
  <si>
    <t>Copper For Ikangba</t>
  </si>
  <si>
    <t>Bonojo Gen</t>
  </si>
  <si>
    <t>Bunchi K Lawal</t>
  </si>
  <si>
    <t>Ibo wife Osimore</t>
  </si>
  <si>
    <t>Bro Bogun</t>
  </si>
  <si>
    <t>Osimore Ibo</t>
  </si>
  <si>
    <t>Onile Rental</t>
  </si>
  <si>
    <t>Baba Jumi</t>
  </si>
  <si>
    <t>Efele's House</t>
  </si>
  <si>
    <t>Bosun Oreagba</t>
  </si>
  <si>
    <t>TIS Rental</t>
  </si>
  <si>
    <t>Gods Marvelous</t>
  </si>
  <si>
    <t>Aunty Yemisi Osimore</t>
  </si>
  <si>
    <t>St.Anthony</t>
  </si>
  <si>
    <t>Baba Yemi</t>
  </si>
  <si>
    <t>Akso Rental</t>
  </si>
  <si>
    <t>Brother Bogun</t>
  </si>
  <si>
    <t>Baba Ajara Rental</t>
  </si>
  <si>
    <t>Kunlech Rental</t>
  </si>
  <si>
    <t>Odutayo Family</t>
  </si>
  <si>
    <t>Kemi Sule</t>
  </si>
  <si>
    <t/>
  </si>
  <si>
    <t>Gen</t>
  </si>
  <si>
    <t>1 300 Guest,20 Tables</t>
  </si>
  <si>
    <t>2 1 1000 guest</t>
  </si>
  <si>
    <t>1 100 Guest</t>
  </si>
  <si>
    <t>1 100 guest,60 Chair and  cover,20 tables and covers</t>
  </si>
  <si>
    <t>1 festival,10 Chair,2 tables</t>
  </si>
  <si>
    <t>7 Chair</t>
  </si>
  <si>
    <t>1 1000 guest,2 festival,1  Bridal Canopy,5 Chair</t>
  </si>
  <si>
    <t>2 Royal,4 Chair,4 tables and Covers</t>
  </si>
  <si>
    <t>2 Chair, 2 Tables and Covers</t>
  </si>
  <si>
    <t>2 festival,1 Royal, Chair,16 tables</t>
  </si>
  <si>
    <t>5 Chair and Cover,5 tables and cover,1 drum</t>
  </si>
  <si>
    <t>2 Chair,1 table and covers</t>
  </si>
  <si>
    <t>2 Festival,10 Chair and covers,24 Tables,3 Fans and gen</t>
  </si>
  <si>
    <t>12 Chair,11 Plastic Table,5 Iron Tables</t>
  </si>
  <si>
    <t>1 100 Guest,9 Chair</t>
  </si>
  <si>
    <t>1 Festival,9 Chair</t>
  </si>
  <si>
    <t>600 Guest,2 Festival,25 Chair</t>
  </si>
  <si>
    <t>2 Royal,3 Chair,4 Tables,1 Drum</t>
  </si>
  <si>
    <t>67 Chair</t>
  </si>
  <si>
    <t>5 Chair</t>
  </si>
  <si>
    <t>1 festival,3 Chair,2 Iron Tables</t>
  </si>
  <si>
    <t>10 Chair,2 tables</t>
  </si>
  <si>
    <t>1 Chair,1 table for 3 Days</t>
  </si>
  <si>
    <t>1Royal,2Chair,2tables</t>
  </si>
  <si>
    <t>6Chair,8p,1Iron,2Drum</t>
  </si>
  <si>
    <t>7Chair</t>
  </si>
  <si>
    <t>25Chair</t>
  </si>
  <si>
    <t>2 Festival,8Chair,5 Plastic Table</t>
  </si>
  <si>
    <t>1 Festival,5Chair,8tables</t>
  </si>
  <si>
    <t>1festival,5Chair,2tables and cover,1 Drum</t>
  </si>
  <si>
    <t>3Chair,4tables</t>
  </si>
  <si>
    <t>1 Royal,6 Chair,2 Tables</t>
  </si>
  <si>
    <t>2 Royal,4 Chair</t>
  </si>
  <si>
    <t>1 Royal,10 Chair,6 Iron and cover</t>
  </si>
  <si>
    <t>3 Chair,1 Drum</t>
  </si>
  <si>
    <t>1 Royal,2 Chair,3 Tables and Covers</t>
  </si>
  <si>
    <t>2 Royal,4 Chair,4 Tables and Cover</t>
  </si>
  <si>
    <t>1 Festival,5 Chair,12 tables</t>
  </si>
  <si>
    <t>1 Royal,3 Chair,3 tables and Covers</t>
  </si>
  <si>
    <t>1 100 guest,15 Chair,4 Iron table and Cover</t>
  </si>
  <si>
    <t>1 Festival,2 Royal,6 Chair and Cover,16 plastic Table,3 Drums,6 fans,1 gen</t>
  </si>
  <si>
    <t>1 Royal,8 Chair,4 tables and cover</t>
  </si>
  <si>
    <t>1 festival,5 Chair,10 plastic table,2 iron table,1 drum</t>
  </si>
  <si>
    <t>1 100 guest,9 Chair,12 Plastic table,2 iron table and cover,2 drums</t>
  </si>
  <si>
    <t>7 Chair,11 Plastic table,3 iron table</t>
  </si>
  <si>
    <t>1 Royal ,3 Chair</t>
  </si>
  <si>
    <t>1 100 guest,13 Chair,20 plastic Table,2 iron table,3 fans,1 royal</t>
  </si>
  <si>
    <t>1 festival, 1 Royal,10 Chair and covers,16 tables and covers</t>
  </si>
  <si>
    <t>1 Royal,2 Chair</t>
  </si>
  <si>
    <t>2 Festival,1 royal,12 Chair,4 tables</t>
  </si>
  <si>
    <t>12 Chair,20 Tables,2 Fans,2 Drums</t>
  </si>
  <si>
    <t>1 Royal,3 Chair,3 Tables and Covers</t>
  </si>
  <si>
    <t>1 Festival,7 Chair,4 tables and cover</t>
  </si>
  <si>
    <t>3 Chair</t>
  </si>
  <si>
    <t>1 royal,2 Chair and covers,4 tables and covers,</t>
  </si>
  <si>
    <t>1 Royal,3 tables and covers,3 Chair</t>
  </si>
  <si>
    <t>5 festival,1 Royal,25 Chair,10 plastic table and covers</t>
  </si>
  <si>
    <t>1 festival,1 Royal,5 Chair</t>
  </si>
  <si>
    <t>2 festival,12 Chair,4 tables and covers</t>
  </si>
  <si>
    <t>1 Royal,5 Chair,2 Tables and covers</t>
  </si>
  <si>
    <t>2 Chair</t>
  </si>
  <si>
    <t>1 festival,3 Chair,6 tables and cover</t>
  </si>
  <si>
    <t>1 Royal,1 Chair</t>
  </si>
  <si>
    <t>3 Festival,1 Royal,25 Chair,3 Tables and Cover</t>
  </si>
  <si>
    <t>1 bridal,1 Royal,4 Chair,2 Table and cover</t>
  </si>
  <si>
    <t>1 Chair,1 Table</t>
  </si>
  <si>
    <t>1 Festival,10 Chair,3 Tables</t>
  </si>
  <si>
    <t>2 Chair,2 Tables</t>
  </si>
  <si>
    <t>4 Chair,6 Tables and cover</t>
  </si>
  <si>
    <t>1 Fsetival,6,Chair,3 Tables</t>
  </si>
  <si>
    <t>1 Festival,6 Chair,12 Tables</t>
  </si>
  <si>
    <t>4 Chair,2 Tables</t>
  </si>
  <si>
    <t>1 festival,2 Chair,4 Table Cover</t>
  </si>
  <si>
    <t>2 Royal,8 Chair,2 Table Cover</t>
  </si>
  <si>
    <t>18 Chair,40 Tables and covers,3 drum,1 gen</t>
  </si>
  <si>
    <t>1 Chair</t>
  </si>
  <si>
    <t>1 Chair,1 table</t>
  </si>
  <si>
    <t>1 royal,1 Bridal,4 Chair,1 Table and covers</t>
  </si>
  <si>
    <t>4 festival,1 Royal,25 Chair,60 tables and covers</t>
  </si>
  <si>
    <t>1 Royal,3 Chair,5 Tables and covers</t>
  </si>
  <si>
    <t>1 Royal,3 Chair</t>
  </si>
  <si>
    <t>5 Chair,21 tables</t>
  </si>
  <si>
    <t>1 300 Guest,50 Tables,25 Chair,2 Royal,2 Iron tables,5 drums</t>
  </si>
  <si>
    <t>25 Chair,50 tables and covers,2 Royal,8 drums</t>
  </si>
  <si>
    <t>10 Chair and cover,20 Table and cover</t>
  </si>
  <si>
    <t>10 Chair</t>
  </si>
  <si>
    <t>1 Royal,2 Chair,4 Tables and Covers</t>
  </si>
  <si>
    <t>1 200 Guest</t>
  </si>
  <si>
    <t>15 Chair,1 200 Guest</t>
  </si>
  <si>
    <t>Plastic</t>
  </si>
  <si>
    <t>Facts</t>
  </si>
  <si>
    <t>Quantity</t>
  </si>
  <si>
    <t>Customer and Order Dim</t>
  </si>
  <si>
    <t>Products Dim</t>
  </si>
  <si>
    <t xml:space="preserve">BaruwaBonojo </t>
  </si>
  <si>
    <t>Uncle Sule</t>
  </si>
  <si>
    <t>Oreagba adefisan</t>
  </si>
  <si>
    <t>Abo ejire</t>
  </si>
  <si>
    <t>Ibo eyinwo</t>
  </si>
  <si>
    <t>Oreagba P.A</t>
  </si>
  <si>
    <t>Cooper Ikangba</t>
  </si>
  <si>
    <t xml:space="preserve">Buchim Klawal </t>
  </si>
  <si>
    <t>Osimore House</t>
  </si>
  <si>
    <t>Osinubi Office</t>
  </si>
  <si>
    <t>Namaco rental</t>
  </si>
  <si>
    <t>Rodipe Hall</t>
  </si>
  <si>
    <t>Osinubi shop</t>
  </si>
  <si>
    <t>Awokoya Boys</t>
  </si>
  <si>
    <t>Olugajo brother</t>
  </si>
  <si>
    <t>Okuwobi</t>
  </si>
  <si>
    <t>Lukay</t>
  </si>
  <si>
    <t>Beer Parlour</t>
  </si>
  <si>
    <t>demola Oreagba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</si>
</sst>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₦-46A]#,##0"/>
  </numFmts>
  <fonts count="3" x14ac:knownFonts="1">
    <font>
      <sz val="11"/>
      <color theme="1"/>
      <name val="Calibri"/>
      <family val="2"/>
      <scheme val="minor"/>
    </font>
    <font>
      <b/>
      <sz val="18"/>
      <color theme="1"/>
      <name val="Algerian"/>
      <family val="5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BE7E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4" fontId="0" fillId="2" borderId="0" xfId="0" applyNumberFormat="1" applyFill="1"/>
    <xf numFmtId="164" fontId="0" fillId="2" borderId="0" xfId="0" applyNumberFormat="1" applyFill="1"/>
    <xf numFmtId="14" fontId="0" fillId="0" borderId="0" xfId="0" applyNumberFormat="1"/>
    <xf numFmtId="164" fontId="0" fillId="0" borderId="0" xfId="0" applyNumberFormat="1"/>
    <xf numFmtId="3" fontId="0" fillId="2" borderId="3" xfId="0" applyNumberFormat="1" applyFill="1" applyBorder="1"/>
    <xf numFmtId="14" fontId="0" fillId="2" borderId="0" xfId="0" applyNumberFormat="1" applyFill="1"/>
    <xf numFmtId="1" fontId="0" fillId="0" borderId="0" xfId="0" applyNumberFormat="1"/>
    <xf numFmtId="4" fontId="0" fillId="4" borderId="0" xfId="0" applyNumberFormat="1" applyFill="1"/>
    <xf numFmtId="164" fontId="0" fillId="4" borderId="3" xfId="0" applyNumberFormat="1" applyFill="1" applyBorder="1"/>
    <xf numFmtId="0" fontId="0" fillId="4" borderId="0" xfId="0" applyFill="1"/>
    <xf numFmtId="19" fontId="0" fillId="0" borderId="0" xfId="0" applyNumberFormat="1"/>
    <xf numFmtId="14" fontId="0" fillId="4" borderId="1" xfId="0" applyNumberFormat="1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E7E1"/>
      <color rgb="FFD7BD88"/>
      <color rgb="FFD0C3BA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6</xdr:row>
          <xdr:rowOff>15240</xdr:rowOff>
        </xdr:from>
        <xdr:to>
          <xdr:col>16</xdr:col>
          <xdr:colOff>160020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6</xdr:row>
          <xdr:rowOff>15240</xdr:rowOff>
        </xdr:from>
        <xdr:to>
          <xdr:col>16</xdr:col>
          <xdr:colOff>160020</xdr:colOff>
          <xdr:row>7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175260</xdr:colOff>
          <xdr:row>3</xdr:row>
          <xdr:rowOff>22860</xdr:rowOff>
        </xdr:from>
        <xdr:to>
          <xdr:col>14</xdr:col>
          <xdr:colOff>533400</xdr:colOff>
          <xdr:row>5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1048575</xdr:row>
          <xdr:rowOff>7620</xdr:rowOff>
        </xdr:from>
        <xdr:to>
          <xdr:col>16</xdr:col>
          <xdr:colOff>160020</xdr:colOff>
          <xdr:row>1048575</xdr:row>
          <xdr:rowOff>182880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58109-8A70-4C98-B6A7-0AFA416202E7}">
  <sheetPr codeName="Sheet1"/>
  <dimension ref="G1:BI11"/>
  <sheetViews>
    <sheetView showGridLines="0" topLeftCell="A2" zoomScale="70" zoomScaleNormal="70" workbookViewId="0">
      <selection activeCell="M8" sqref="M8"/>
    </sheetView>
  </sheetViews>
  <sheetFormatPr defaultColWidth="8.77734375" defaultRowHeight="14.4" x14ac:dyDescent="0.3"/>
  <cols>
    <col min="1" max="2" width="8.77734375" style="1"/>
    <col min="3" max="3" width="17.77734375" style="1" customWidth="1"/>
    <col min="4" max="4" width="10.88671875" style="1" customWidth="1"/>
    <col min="5" max="8" width="8.77734375" style="1"/>
    <col min="9" max="9" width="14.21875" style="1" bestFit="1" customWidth="1"/>
    <col min="10" max="36" width="8.77734375" style="1"/>
    <col min="37" max="37" width="10.44140625" style="8" bestFit="1" customWidth="1"/>
    <col min="38" max="38" width="14.21875" style="8" bestFit="1" customWidth="1"/>
    <col min="39" max="39" width="12.33203125" style="1" bestFit="1" customWidth="1"/>
    <col min="40" max="40" width="28" style="1" bestFit="1" customWidth="1"/>
    <col min="41" max="41" width="26.6640625" style="1" bestFit="1" customWidth="1"/>
    <col min="42" max="43" width="8.77734375" style="1" bestFit="1" customWidth="1"/>
    <col min="44" max="16384" width="8.77734375" style="1"/>
  </cols>
  <sheetData>
    <row r="1" spans="7:61" x14ac:dyDescent="0.3">
      <c r="AK1" s="5" t="s">
        <v>0</v>
      </c>
      <c r="AL1" s="5" t="s">
        <v>137</v>
      </c>
      <c r="AM1" t="s">
        <v>118</v>
      </c>
      <c r="AN1" t="s">
        <v>119</v>
      </c>
      <c r="AO1" t="s">
        <v>120</v>
      </c>
      <c r="AP1" t="s">
        <v>121</v>
      </c>
      <c r="AQ1" t="s">
        <v>124</v>
      </c>
      <c r="AR1" t="s">
        <v>125</v>
      </c>
      <c r="AS1" t="s">
        <v>126</v>
      </c>
      <c r="AT1" t="s">
        <v>127</v>
      </c>
      <c r="AU1" t="s">
        <v>40</v>
      </c>
      <c r="AV1" t="s">
        <v>45</v>
      </c>
      <c r="AW1" t="s">
        <v>128</v>
      </c>
      <c r="AX1" t="s">
        <v>129</v>
      </c>
      <c r="AY1" t="s">
        <v>40</v>
      </c>
      <c r="AZ1" t="s">
        <v>130</v>
      </c>
      <c r="BA1" t="s">
        <v>131</v>
      </c>
      <c r="BB1" t="s">
        <v>122</v>
      </c>
      <c r="BC1" t="s">
        <v>123</v>
      </c>
      <c r="BD1" t="s">
        <v>132</v>
      </c>
      <c r="BE1" s="1" t="s">
        <v>4</v>
      </c>
      <c r="BF1" s="1" t="s">
        <v>5</v>
      </c>
      <c r="BG1" s="1" t="s">
        <v>140</v>
      </c>
    </row>
    <row r="2" spans="7:61" x14ac:dyDescent="0.3"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</row>
    <row r="3" spans="7:61" ht="14.55" customHeight="1" x14ac:dyDescent="0.3">
      <c r="G3" s="2"/>
      <c r="H3" s="2"/>
      <c r="I3" s="2"/>
      <c r="J3" s="2"/>
      <c r="K3" s="2"/>
      <c r="L3" s="2"/>
      <c r="M3" s="2"/>
      <c r="N3" s="2"/>
      <c r="AK3" s="5" t="s">
        <v>0</v>
      </c>
      <c r="AL3" s="5" t="s">
        <v>137</v>
      </c>
      <c r="AM3" t="s">
        <v>118</v>
      </c>
      <c r="AN3" t="s">
        <v>119</v>
      </c>
      <c r="AO3" t="s">
        <v>120</v>
      </c>
      <c r="AP3" t="s">
        <v>121</v>
      </c>
      <c r="AQ3" t="s">
        <v>124</v>
      </c>
      <c r="AR3" t="s">
        <v>125</v>
      </c>
      <c r="AS3" t="s">
        <v>126</v>
      </c>
      <c r="AT3" t="s">
        <v>127</v>
      </c>
      <c r="AU3" t="s">
        <v>40</v>
      </c>
      <c r="AV3" t="s">
        <v>45</v>
      </c>
      <c r="AW3" t="s">
        <v>128</v>
      </c>
      <c r="AX3" t="s">
        <v>129</v>
      </c>
      <c r="AY3" t="s">
        <v>40</v>
      </c>
      <c r="AZ3" t="s">
        <v>130</v>
      </c>
      <c r="BA3" t="s">
        <v>131</v>
      </c>
      <c r="BB3" t="s">
        <v>122</v>
      </c>
      <c r="BC3" t="s">
        <v>123</v>
      </c>
      <c r="BD3" t="s">
        <v>132</v>
      </c>
      <c r="BE3" s="1" t="s">
        <v>4</v>
      </c>
      <c r="BF3" s="1" t="s">
        <v>5</v>
      </c>
      <c r="BG3" s="1" t="s">
        <v>140</v>
      </c>
    </row>
    <row r="4" spans="7:61" ht="14.55" customHeight="1" x14ac:dyDescent="0.3">
      <c r="G4" s="2"/>
      <c r="H4" s="2"/>
      <c r="I4" s="18" t="s">
        <v>6</v>
      </c>
      <c r="J4" s="18"/>
      <c r="K4" s="18"/>
      <c r="L4" s="18"/>
      <c r="M4" s="18"/>
      <c r="N4" s="2"/>
      <c r="AL4" s="8">
        <v>45906</v>
      </c>
      <c r="AM4" s="1" t="s">
        <v>289</v>
      </c>
      <c r="AN4" s="1">
        <v>5</v>
      </c>
      <c r="AS4" s="1">
        <v>2</v>
      </c>
      <c r="AZ4" s="1">
        <v>3</v>
      </c>
      <c r="BE4" s="1">
        <v>80000</v>
      </c>
      <c r="BF4" s="1">
        <v>80000</v>
      </c>
    </row>
    <row r="5" spans="7:61" ht="14.55" customHeight="1" x14ac:dyDescent="0.3">
      <c r="G5" s="2"/>
      <c r="H5" s="2"/>
      <c r="I5" s="18"/>
      <c r="J5" s="18"/>
      <c r="K5" s="18"/>
      <c r="L5" s="18"/>
      <c r="M5" s="18"/>
      <c r="N5" s="2"/>
    </row>
    <row r="6" spans="7:61" ht="15" customHeight="1" thickBot="1" x14ac:dyDescent="0.35">
      <c r="G6" s="3"/>
      <c r="H6" s="3"/>
      <c r="I6" s="18"/>
      <c r="J6" s="18"/>
      <c r="K6" s="18"/>
      <c r="L6" s="18"/>
      <c r="M6" s="18"/>
      <c r="N6" s="3"/>
    </row>
    <row r="7" spans="7:61" ht="15" thickBot="1" x14ac:dyDescent="0.35">
      <c r="G7" s="3"/>
      <c r="H7" s="3"/>
      <c r="I7" s="10" t="s">
        <v>7</v>
      </c>
      <c r="J7" s="14"/>
      <c r="K7" s="15"/>
      <c r="L7" s="10" t="s">
        <v>8</v>
      </c>
      <c r="M7" s="11"/>
      <c r="N7" s="4" t="s">
        <v>134</v>
      </c>
      <c r="O7" s="7"/>
      <c r="P7" s="4"/>
      <c r="Q7" s="4"/>
    </row>
    <row r="8" spans="7:61" ht="15" thickBot="1" x14ac:dyDescent="0.35">
      <c r="I8" s="12" t="s">
        <v>136</v>
      </c>
      <c r="J8" s="14"/>
      <c r="K8" s="15"/>
      <c r="L8" s="10" t="s">
        <v>8</v>
      </c>
      <c r="M8" s="11"/>
      <c r="N8" s="4" t="s">
        <v>134</v>
      </c>
      <c r="O8" s="7"/>
    </row>
    <row r="9" spans="7:61" ht="15" thickBot="1" x14ac:dyDescent="0.35">
      <c r="I9" s="12" t="s">
        <v>133</v>
      </c>
      <c r="J9" s="14"/>
      <c r="K9" s="15"/>
    </row>
    <row r="10" spans="7:61" ht="15" thickBot="1" x14ac:dyDescent="0.35">
      <c r="I10" s="12" t="s">
        <v>9</v>
      </c>
      <c r="J10" s="16"/>
      <c r="K10" s="17"/>
    </row>
    <row r="11" spans="7:61" ht="15" thickBot="1" x14ac:dyDescent="0.35">
      <c r="I11" s="12" t="s">
        <v>10</v>
      </c>
      <c r="J11" s="16"/>
      <c r="K11" s="17"/>
    </row>
  </sheetData>
  <mergeCells count="6">
    <mergeCell ref="J8:K8"/>
    <mergeCell ref="J10:K10"/>
    <mergeCell ref="J11:K11"/>
    <mergeCell ref="I4:M6"/>
    <mergeCell ref="J7:K7"/>
    <mergeCell ref="J9:K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_request">
                <anchor moveWithCells="1" sizeWithCells="1">
                  <from>
                    <xdr:col>15</xdr:col>
                    <xdr:colOff>45720</xdr:colOff>
                    <xdr:row>6</xdr:row>
                    <xdr:rowOff>15240</xdr:rowOff>
                  </from>
                  <to>
                    <xdr:col>16</xdr:col>
                    <xdr:colOff>160020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add_request">
                <anchor moveWithCells="1" sizeWithCells="1">
                  <from>
                    <xdr:col>15</xdr:col>
                    <xdr:colOff>45720</xdr:colOff>
                    <xdr:row>6</xdr:row>
                    <xdr:rowOff>15240</xdr:rowOff>
                  </from>
                  <to>
                    <xdr:col>16</xdr:col>
                    <xdr:colOff>160020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Dataset_2">
                <anchor moveWithCells="1" sizeWithCells="1">
                  <from>
                    <xdr:col>13</xdr:col>
                    <xdr:colOff>175260</xdr:colOff>
                    <xdr:row>3</xdr:row>
                    <xdr:rowOff>22860</xdr:rowOff>
                  </from>
                  <to>
                    <xdr:col>14</xdr:col>
                    <xdr:colOff>533400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add_request">
                <anchor moveWithCells="1" sizeWithCells="1">
                  <from>
                    <xdr:col>15</xdr:col>
                    <xdr:colOff>45720</xdr:colOff>
                    <xdr:row>1048575</xdr:row>
                    <xdr:rowOff>7620</xdr:rowOff>
                  </from>
                  <to>
                    <xdr:col>16</xdr:col>
                    <xdr:colOff>160020</xdr:colOff>
                    <xdr:row>1048575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F13B2-393C-470B-8518-9286CAA0B4A2}">
  <sheetPr codeName="Sheet2"/>
  <dimension ref="B1:AU106"/>
  <sheetViews>
    <sheetView topLeftCell="A36" zoomScale="59" zoomScaleNormal="59" workbookViewId="0">
      <selection activeCell="D105" sqref="D105"/>
    </sheetView>
  </sheetViews>
  <sheetFormatPr defaultRowHeight="14.4" x14ac:dyDescent="0.3"/>
  <cols>
    <col min="2" max="2" width="20.77734375" style="5" customWidth="1"/>
    <col min="3" max="3" width="12.33203125" style="5" bestFit="1" customWidth="1"/>
    <col min="4" max="4" width="32.109375" bestFit="1" customWidth="1"/>
    <col min="5" max="5" width="62.5546875" bestFit="1" customWidth="1"/>
    <col min="6" max="7" width="8.5546875" style="6" bestFit="1" customWidth="1"/>
    <col min="17" max="17" width="26.21875" bestFit="1" customWidth="1"/>
    <col min="37" max="37" width="19.44140625" bestFit="1" customWidth="1"/>
    <col min="38" max="38" width="22.88671875" bestFit="1" customWidth="1"/>
  </cols>
  <sheetData>
    <row r="1" spans="2:47" x14ac:dyDescent="0.3">
      <c r="B1" s="5" t="s">
        <v>0</v>
      </c>
      <c r="C1" s="5" t="s">
        <v>1</v>
      </c>
      <c r="D1" t="s">
        <v>2</v>
      </c>
      <c r="E1" t="s">
        <v>3</v>
      </c>
      <c r="F1" s="6" t="s">
        <v>4</v>
      </c>
      <c r="G1" s="6" t="s">
        <v>5</v>
      </c>
    </row>
    <row r="2" spans="2:47" x14ac:dyDescent="0.3">
      <c r="B2" s="5">
        <v>45579</v>
      </c>
      <c r="C2" s="5">
        <v>45580</v>
      </c>
      <c r="D2" t="s">
        <v>11</v>
      </c>
      <c r="E2" t="s">
        <v>197</v>
      </c>
      <c r="F2" s="6">
        <v>21500</v>
      </c>
      <c r="G2" s="6">
        <v>21500</v>
      </c>
      <c r="P2" t="e">
        <f ca="1">ExtractBigNumBeforeText(E2)</f>
        <v>#NAME?</v>
      </c>
      <c r="Q2" t="e">
        <f>ExtractTextAndBigNum(E2)</f>
        <v>#VALUE!</v>
      </c>
      <c r="R2" s="9"/>
      <c r="S2" s="9"/>
      <c r="V2">
        <v>1</v>
      </c>
      <c r="W2" t="s">
        <v>127</v>
      </c>
      <c r="X2">
        <v>3</v>
      </c>
      <c r="Y2" t="s">
        <v>119</v>
      </c>
      <c r="Z2">
        <v>2</v>
      </c>
      <c r="AA2" t="s">
        <v>121</v>
      </c>
      <c r="AC2" t="s">
        <v>175</v>
      </c>
      <c r="AE2" t="s">
        <v>175</v>
      </c>
      <c r="AG2" t="s">
        <v>175</v>
      </c>
      <c r="AI2" t="s">
        <v>175</v>
      </c>
      <c r="AO2" t="s">
        <v>127</v>
      </c>
      <c r="AP2" t="s">
        <v>119</v>
      </c>
      <c r="AQ2" t="s">
        <v>121</v>
      </c>
      <c r="AR2" t="s">
        <v>175</v>
      </c>
      <c r="AS2" t="s">
        <v>175</v>
      </c>
      <c r="AT2" t="s">
        <v>175</v>
      </c>
      <c r="AU2" t="s">
        <v>175</v>
      </c>
    </row>
    <row r="3" spans="2:47" x14ac:dyDescent="0.3">
      <c r="B3" s="5">
        <v>45583</v>
      </c>
      <c r="C3" s="5">
        <v>45585</v>
      </c>
      <c r="D3" t="s">
        <v>12</v>
      </c>
      <c r="E3" t="s">
        <v>198</v>
      </c>
      <c r="F3" s="6">
        <v>8000</v>
      </c>
      <c r="G3" s="6">
        <v>8000</v>
      </c>
      <c r="P3" t="e">
        <f t="shared" ref="P3:P66" ca="1" si="0">ExtractTextOnly(E3)</f>
        <v>#NAME?</v>
      </c>
      <c r="Q3" t="e">
        <f t="shared" ref="Q3:Q66" si="1">ExtractTextAndBigNum(E3)</f>
        <v>#VALUE!</v>
      </c>
      <c r="R3" s="9"/>
      <c r="S3" s="9"/>
      <c r="V3">
        <v>10</v>
      </c>
      <c r="W3" t="s">
        <v>119</v>
      </c>
      <c r="X3">
        <v>2</v>
      </c>
      <c r="Y3" t="s">
        <v>120</v>
      </c>
      <c r="AA3" t="s">
        <v>175</v>
      </c>
      <c r="AC3" t="s">
        <v>175</v>
      </c>
      <c r="AE3" t="s">
        <v>175</v>
      </c>
      <c r="AG3" t="s">
        <v>175</v>
      </c>
      <c r="AI3" t="s">
        <v>175</v>
      </c>
      <c r="AO3" t="s">
        <v>119</v>
      </c>
      <c r="AP3" t="s">
        <v>120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</row>
    <row r="4" spans="2:47" x14ac:dyDescent="0.3">
      <c r="B4" s="5">
        <v>45586</v>
      </c>
      <c r="C4" s="5">
        <v>45586</v>
      </c>
      <c r="D4" t="s">
        <v>13</v>
      </c>
      <c r="E4" t="s">
        <v>199</v>
      </c>
      <c r="F4" s="6">
        <v>10500</v>
      </c>
      <c r="G4" s="6">
        <v>10500</v>
      </c>
      <c r="P4" t="e">
        <f t="shared" ca="1" si="0"/>
        <v>#NAME?</v>
      </c>
      <c r="Q4" t="e">
        <f t="shared" si="1"/>
        <v>#VALUE!</v>
      </c>
      <c r="R4" s="9"/>
      <c r="S4" s="9"/>
      <c r="V4">
        <v>1</v>
      </c>
      <c r="W4" t="s">
        <v>119</v>
      </c>
      <c r="X4">
        <v>1</v>
      </c>
      <c r="Y4" t="s">
        <v>120</v>
      </c>
      <c r="Z4">
        <v>3</v>
      </c>
      <c r="AA4" t="s">
        <v>175</v>
      </c>
      <c r="AC4" t="s">
        <v>175</v>
      </c>
      <c r="AE4" t="s">
        <v>175</v>
      </c>
      <c r="AG4" t="s">
        <v>175</v>
      </c>
      <c r="AI4" t="s">
        <v>175</v>
      </c>
      <c r="AO4" t="s">
        <v>119</v>
      </c>
      <c r="AP4" t="s">
        <v>120</v>
      </c>
      <c r="AQ4" t="s">
        <v>175</v>
      </c>
      <c r="AR4" t="s">
        <v>175</v>
      </c>
      <c r="AS4" t="s">
        <v>175</v>
      </c>
      <c r="AT4" t="s">
        <v>175</v>
      </c>
      <c r="AU4" t="s">
        <v>175</v>
      </c>
    </row>
    <row r="5" spans="2:47" x14ac:dyDescent="0.3">
      <c r="B5" s="5">
        <v>45583</v>
      </c>
      <c r="C5" s="5">
        <v>45584</v>
      </c>
      <c r="D5" t="s">
        <v>14</v>
      </c>
      <c r="E5" t="s">
        <v>181</v>
      </c>
      <c r="F5" s="6">
        <v>0</v>
      </c>
      <c r="G5" s="6">
        <v>0</v>
      </c>
      <c r="P5" t="e">
        <f t="shared" ca="1" si="0"/>
        <v>#NAME?</v>
      </c>
      <c r="Q5" t="e">
        <f t="shared" si="1"/>
        <v>#VALUE!</v>
      </c>
      <c r="R5" s="9"/>
      <c r="S5" s="9"/>
      <c r="V5">
        <v>1</v>
      </c>
      <c r="W5" t="s">
        <v>127</v>
      </c>
      <c r="X5">
        <v>10</v>
      </c>
      <c r="Y5" t="s">
        <v>119</v>
      </c>
      <c r="Z5">
        <v>2</v>
      </c>
      <c r="AA5" t="s">
        <v>120</v>
      </c>
      <c r="AC5" t="s">
        <v>175</v>
      </c>
      <c r="AE5" t="s">
        <v>175</v>
      </c>
      <c r="AG5" t="s">
        <v>175</v>
      </c>
      <c r="AI5" t="s">
        <v>175</v>
      </c>
      <c r="AO5" t="s">
        <v>127</v>
      </c>
      <c r="AP5" t="s">
        <v>119</v>
      </c>
      <c r="AQ5" t="s">
        <v>120</v>
      </c>
      <c r="AR5" t="s">
        <v>175</v>
      </c>
      <c r="AS5" t="s">
        <v>175</v>
      </c>
      <c r="AT5" t="s">
        <v>175</v>
      </c>
      <c r="AU5" t="s">
        <v>175</v>
      </c>
    </row>
    <row r="6" spans="2:47" x14ac:dyDescent="0.3">
      <c r="B6" s="5">
        <v>45589</v>
      </c>
      <c r="C6" s="5">
        <v>45604</v>
      </c>
      <c r="D6" t="s">
        <v>15</v>
      </c>
      <c r="E6" t="s">
        <v>200</v>
      </c>
      <c r="F6" s="6">
        <v>12000</v>
      </c>
      <c r="G6" s="6">
        <v>12000</v>
      </c>
      <c r="P6" t="e">
        <f t="shared" ca="1" si="0"/>
        <v>#NAME?</v>
      </c>
      <c r="Q6" t="e">
        <f t="shared" si="1"/>
        <v>#VALUE!</v>
      </c>
      <c r="R6" s="9"/>
      <c r="S6" s="9"/>
      <c r="V6">
        <v>1</v>
      </c>
      <c r="W6" t="s">
        <v>126</v>
      </c>
      <c r="X6">
        <v>2</v>
      </c>
      <c r="Y6" t="s">
        <v>119</v>
      </c>
      <c r="Z6">
        <v>2</v>
      </c>
      <c r="AA6" t="s">
        <v>120</v>
      </c>
      <c r="AC6" t="s">
        <v>175</v>
      </c>
      <c r="AE6" t="s">
        <v>175</v>
      </c>
      <c r="AG6" t="s">
        <v>175</v>
      </c>
      <c r="AI6" t="s">
        <v>175</v>
      </c>
      <c r="AO6" t="s">
        <v>126</v>
      </c>
      <c r="AP6" t="s">
        <v>119</v>
      </c>
      <c r="AQ6" t="s">
        <v>120</v>
      </c>
      <c r="AR6" t="s">
        <v>175</v>
      </c>
      <c r="AS6" t="s">
        <v>175</v>
      </c>
      <c r="AT6" t="s">
        <v>175</v>
      </c>
      <c r="AU6" t="s">
        <v>175</v>
      </c>
    </row>
    <row r="7" spans="2:47" x14ac:dyDescent="0.3">
      <c r="B7" s="5">
        <v>45587</v>
      </c>
      <c r="C7" s="5">
        <v>45606</v>
      </c>
      <c r="D7" t="s">
        <v>16</v>
      </c>
      <c r="E7" t="s">
        <v>264</v>
      </c>
      <c r="F7" s="6">
        <v>150000</v>
      </c>
      <c r="G7" s="6">
        <v>150000</v>
      </c>
      <c r="P7" t="e">
        <f t="shared" ca="1" si="0"/>
        <v>#NAME?</v>
      </c>
      <c r="Q7" t="e">
        <f t="shared" si="1"/>
        <v>#VALUE!</v>
      </c>
      <c r="R7" s="9"/>
      <c r="S7" s="9"/>
      <c r="V7">
        <v>1</v>
      </c>
      <c r="W7" t="s">
        <v>45</v>
      </c>
      <c r="Y7" t="s">
        <v>175</v>
      </c>
      <c r="AA7" t="s">
        <v>175</v>
      </c>
      <c r="AC7" t="s">
        <v>175</v>
      </c>
      <c r="AE7" t="s">
        <v>175</v>
      </c>
      <c r="AG7" t="s">
        <v>175</v>
      </c>
      <c r="AI7" t="s">
        <v>175</v>
      </c>
      <c r="AO7" t="s">
        <v>45</v>
      </c>
      <c r="AP7" t="s">
        <v>175</v>
      </c>
      <c r="AQ7" t="s">
        <v>175</v>
      </c>
      <c r="AR7" t="s">
        <v>175</v>
      </c>
      <c r="AS7" t="s">
        <v>175</v>
      </c>
      <c r="AT7" t="s">
        <v>175</v>
      </c>
      <c r="AU7" t="s">
        <v>175</v>
      </c>
    </row>
    <row r="8" spans="2:47" x14ac:dyDescent="0.3">
      <c r="B8" s="5">
        <v>45625</v>
      </c>
      <c r="C8" s="5">
        <v>45626</v>
      </c>
      <c r="D8" t="s">
        <v>17</v>
      </c>
      <c r="E8" t="s">
        <v>182</v>
      </c>
      <c r="F8" s="6">
        <v>0</v>
      </c>
      <c r="G8" s="6">
        <v>3500</v>
      </c>
      <c r="P8" t="e">
        <f t="shared" ca="1" si="0"/>
        <v>#NAME?</v>
      </c>
      <c r="Q8" t="e">
        <f t="shared" si="1"/>
        <v>#VALUE!</v>
      </c>
      <c r="R8" s="9"/>
      <c r="S8" s="9"/>
      <c r="V8">
        <v>7</v>
      </c>
      <c r="W8" t="s">
        <v>119</v>
      </c>
      <c r="Y8" t="s">
        <v>175</v>
      </c>
      <c r="AA8" t="s">
        <v>175</v>
      </c>
      <c r="AC8" t="s">
        <v>175</v>
      </c>
      <c r="AE8" t="s">
        <v>175</v>
      </c>
      <c r="AG8" t="s">
        <v>175</v>
      </c>
      <c r="AI8" t="s">
        <v>175</v>
      </c>
      <c r="AO8" t="s">
        <v>119</v>
      </c>
      <c r="AP8" t="s">
        <v>175</v>
      </c>
      <c r="AQ8" t="s">
        <v>175</v>
      </c>
      <c r="AR8" t="s">
        <v>175</v>
      </c>
      <c r="AS8" t="s">
        <v>175</v>
      </c>
      <c r="AT8" t="s">
        <v>175</v>
      </c>
      <c r="AU8" t="s">
        <v>175</v>
      </c>
    </row>
    <row r="9" spans="2:47" x14ac:dyDescent="0.3">
      <c r="B9" s="5">
        <v>45625</v>
      </c>
      <c r="C9" s="5">
        <v>45626</v>
      </c>
      <c r="D9" t="s">
        <v>18</v>
      </c>
      <c r="E9" t="s">
        <v>201</v>
      </c>
      <c r="F9" s="6">
        <v>0</v>
      </c>
      <c r="G9" s="6">
        <v>10000</v>
      </c>
      <c r="P9" t="e">
        <f t="shared" ca="1" si="0"/>
        <v>#NAME?</v>
      </c>
      <c r="Q9" t="e">
        <f t="shared" si="1"/>
        <v>#VALUE!</v>
      </c>
      <c r="R9" s="9"/>
      <c r="S9" s="9"/>
      <c r="V9">
        <v>6</v>
      </c>
      <c r="W9" t="s">
        <v>119</v>
      </c>
      <c r="X9">
        <v>8</v>
      </c>
      <c r="Y9" t="s">
        <v>120</v>
      </c>
      <c r="Z9">
        <v>1</v>
      </c>
      <c r="AA9" t="s">
        <v>121</v>
      </c>
      <c r="AB9">
        <v>2</v>
      </c>
      <c r="AC9" t="s">
        <v>122</v>
      </c>
      <c r="AE9" t="s">
        <v>175</v>
      </c>
      <c r="AG9" t="s">
        <v>175</v>
      </c>
      <c r="AI9" t="s">
        <v>175</v>
      </c>
      <c r="AO9" t="s">
        <v>119</v>
      </c>
      <c r="AP9" t="s">
        <v>120</v>
      </c>
      <c r="AQ9" t="s">
        <v>121</v>
      </c>
      <c r="AR9" t="s">
        <v>122</v>
      </c>
      <c r="AS9" t="s">
        <v>175</v>
      </c>
      <c r="AT9" t="s">
        <v>175</v>
      </c>
      <c r="AU9" t="s">
        <v>175</v>
      </c>
    </row>
    <row r="10" spans="2:47" x14ac:dyDescent="0.3">
      <c r="B10" s="5">
        <v>45625</v>
      </c>
      <c r="C10" s="5">
        <v>45626</v>
      </c>
      <c r="D10" t="s">
        <v>19</v>
      </c>
      <c r="E10" t="s">
        <v>202</v>
      </c>
      <c r="F10" s="6">
        <v>5000</v>
      </c>
      <c r="G10" s="6">
        <v>5000</v>
      </c>
      <c r="P10" t="e">
        <f t="shared" ca="1" si="0"/>
        <v>#NAME?</v>
      </c>
      <c r="Q10" t="e">
        <f t="shared" si="1"/>
        <v>#VALUE!</v>
      </c>
      <c r="R10" s="9"/>
      <c r="S10" s="9"/>
      <c r="V10">
        <v>7</v>
      </c>
      <c r="W10" t="s">
        <v>119</v>
      </c>
      <c r="Y10" t="s">
        <v>175</v>
      </c>
      <c r="AA10" t="s">
        <v>175</v>
      </c>
      <c r="AC10" t="s">
        <v>175</v>
      </c>
      <c r="AE10" t="s">
        <v>175</v>
      </c>
      <c r="AG10" t="s">
        <v>175</v>
      </c>
      <c r="AI10" t="s">
        <v>175</v>
      </c>
      <c r="AO10" t="s">
        <v>119</v>
      </c>
      <c r="AP10" t="s">
        <v>175</v>
      </c>
      <c r="AQ10" t="s">
        <v>175</v>
      </c>
      <c r="AR10" t="s">
        <v>175</v>
      </c>
      <c r="AS10" t="s">
        <v>175</v>
      </c>
      <c r="AT10" t="s">
        <v>175</v>
      </c>
      <c r="AU10" t="s">
        <v>175</v>
      </c>
    </row>
    <row r="11" spans="2:47" x14ac:dyDescent="0.3">
      <c r="B11" s="5">
        <v>45625</v>
      </c>
      <c r="C11" s="5">
        <v>45625</v>
      </c>
      <c r="D11" t="s">
        <v>20</v>
      </c>
      <c r="E11" t="s">
        <v>203</v>
      </c>
      <c r="F11" s="6">
        <v>0</v>
      </c>
      <c r="G11" s="6">
        <v>15000</v>
      </c>
      <c r="P11" t="e">
        <f t="shared" ca="1" si="0"/>
        <v>#NAME?</v>
      </c>
      <c r="Q11" t="e">
        <f t="shared" si="1"/>
        <v>#VALUE!</v>
      </c>
      <c r="R11" s="9"/>
      <c r="S11" s="9"/>
      <c r="V11">
        <v>25</v>
      </c>
      <c r="W11" t="s">
        <v>119</v>
      </c>
      <c r="Y11" t="s">
        <v>175</v>
      </c>
      <c r="AA11" t="s">
        <v>175</v>
      </c>
      <c r="AC11" t="s">
        <v>175</v>
      </c>
      <c r="AE11" t="s">
        <v>175</v>
      </c>
      <c r="AG11" t="s">
        <v>175</v>
      </c>
      <c r="AI11" t="s">
        <v>175</v>
      </c>
      <c r="AO11" t="s">
        <v>119</v>
      </c>
      <c r="AP11" t="s">
        <v>175</v>
      </c>
      <c r="AQ11" t="s">
        <v>175</v>
      </c>
      <c r="AR11" t="s">
        <v>175</v>
      </c>
      <c r="AS11" t="s">
        <v>175</v>
      </c>
      <c r="AT11" t="s">
        <v>175</v>
      </c>
      <c r="AU11" t="s">
        <v>175</v>
      </c>
    </row>
    <row r="12" spans="2:47" x14ac:dyDescent="0.3">
      <c r="B12" s="5">
        <v>45626</v>
      </c>
      <c r="C12" s="5">
        <v>45626</v>
      </c>
      <c r="D12" t="s">
        <v>21</v>
      </c>
      <c r="E12" t="s">
        <v>203</v>
      </c>
      <c r="F12" s="6">
        <v>25000</v>
      </c>
      <c r="G12" s="6">
        <v>25000</v>
      </c>
      <c r="P12" t="e">
        <f t="shared" ca="1" si="0"/>
        <v>#NAME?</v>
      </c>
      <c r="Q12" t="e">
        <f t="shared" si="1"/>
        <v>#VALUE!</v>
      </c>
      <c r="R12" s="9"/>
      <c r="S12" s="9"/>
      <c r="V12">
        <v>25</v>
      </c>
      <c r="W12" t="s">
        <v>119</v>
      </c>
      <c r="Y12" t="s">
        <v>175</v>
      </c>
      <c r="AA12" t="s">
        <v>175</v>
      </c>
      <c r="AC12" t="s">
        <v>175</v>
      </c>
      <c r="AE12" t="s">
        <v>175</v>
      </c>
      <c r="AG12" t="s">
        <v>175</v>
      </c>
      <c r="AI12" t="s">
        <v>175</v>
      </c>
      <c r="AO12" t="s">
        <v>119</v>
      </c>
      <c r="AP12" t="s">
        <v>175</v>
      </c>
      <c r="AQ12" t="s">
        <v>175</v>
      </c>
      <c r="AR12" t="s">
        <v>175</v>
      </c>
      <c r="AS12" t="s">
        <v>175</v>
      </c>
      <c r="AT12" t="s">
        <v>175</v>
      </c>
      <c r="AU12" t="s">
        <v>175</v>
      </c>
    </row>
    <row r="13" spans="2:47" x14ac:dyDescent="0.3">
      <c r="B13" s="5">
        <v>45626</v>
      </c>
      <c r="C13" s="5">
        <v>45640</v>
      </c>
      <c r="D13" t="s">
        <v>22</v>
      </c>
      <c r="E13" t="s">
        <v>204</v>
      </c>
      <c r="F13" s="6">
        <v>46000</v>
      </c>
      <c r="G13" s="6">
        <v>40000</v>
      </c>
      <c r="P13" t="e">
        <f t="shared" ca="1" si="0"/>
        <v>#NAME?</v>
      </c>
      <c r="Q13" t="e">
        <f t="shared" si="1"/>
        <v>#VALUE!</v>
      </c>
      <c r="R13" s="9"/>
      <c r="S13" s="9"/>
      <c r="V13">
        <v>2</v>
      </c>
      <c r="W13" t="s">
        <v>127</v>
      </c>
      <c r="X13">
        <v>8</v>
      </c>
      <c r="Y13" t="s">
        <v>119</v>
      </c>
      <c r="Z13">
        <v>5</v>
      </c>
      <c r="AA13" t="s">
        <v>120</v>
      </c>
      <c r="AC13" t="s">
        <v>175</v>
      </c>
      <c r="AE13" t="s">
        <v>175</v>
      </c>
      <c r="AG13" t="s">
        <v>175</v>
      </c>
      <c r="AI13" t="s">
        <v>175</v>
      </c>
      <c r="AO13" t="s">
        <v>127</v>
      </c>
      <c r="AP13" t="s">
        <v>119</v>
      </c>
      <c r="AQ13" t="s">
        <v>120</v>
      </c>
      <c r="AR13" t="s">
        <v>175</v>
      </c>
      <c r="AS13" t="s">
        <v>175</v>
      </c>
      <c r="AT13" t="s">
        <v>175</v>
      </c>
      <c r="AU13" t="s">
        <v>175</v>
      </c>
    </row>
    <row r="14" spans="2:47" x14ac:dyDescent="0.3">
      <c r="B14" s="5">
        <v>45424</v>
      </c>
      <c r="C14" s="5">
        <v>45654</v>
      </c>
      <c r="D14" t="s">
        <v>23</v>
      </c>
      <c r="E14" t="s">
        <v>205</v>
      </c>
      <c r="F14" s="6">
        <v>28000</v>
      </c>
      <c r="G14" s="6">
        <v>20000</v>
      </c>
      <c r="P14" t="e">
        <f t="shared" ca="1" si="0"/>
        <v>#NAME?</v>
      </c>
      <c r="Q14" t="e">
        <f t="shared" si="1"/>
        <v>#VALUE!</v>
      </c>
      <c r="R14" s="9"/>
      <c r="S14" s="9"/>
      <c r="V14">
        <v>1</v>
      </c>
      <c r="W14" t="s">
        <v>127</v>
      </c>
      <c r="X14">
        <v>5</v>
      </c>
      <c r="Y14" t="s">
        <v>119</v>
      </c>
      <c r="Z14">
        <v>8</v>
      </c>
      <c r="AA14" t="s">
        <v>120</v>
      </c>
      <c r="AC14" t="s">
        <v>175</v>
      </c>
      <c r="AE14" t="s">
        <v>175</v>
      </c>
      <c r="AG14" t="s">
        <v>175</v>
      </c>
      <c r="AI14" t="s">
        <v>175</v>
      </c>
      <c r="AO14" t="s">
        <v>127</v>
      </c>
      <c r="AP14" t="s">
        <v>119</v>
      </c>
      <c r="AQ14" t="s">
        <v>120</v>
      </c>
      <c r="AR14" t="s">
        <v>175</v>
      </c>
      <c r="AS14" t="s">
        <v>175</v>
      </c>
      <c r="AT14" t="s">
        <v>175</v>
      </c>
      <c r="AU14" t="s">
        <v>175</v>
      </c>
    </row>
    <row r="15" spans="2:47" x14ac:dyDescent="0.3">
      <c r="B15" s="5">
        <v>45455</v>
      </c>
      <c r="C15" s="5">
        <v>45654</v>
      </c>
      <c r="D15" t="s">
        <v>24</v>
      </c>
      <c r="E15" t="s">
        <v>206</v>
      </c>
      <c r="F15" s="6">
        <v>37500</v>
      </c>
      <c r="G15" s="6">
        <v>37500</v>
      </c>
      <c r="P15" t="e">
        <f t="shared" ca="1" si="0"/>
        <v>#NAME?</v>
      </c>
      <c r="Q15" t="e">
        <f t="shared" si="1"/>
        <v>#VALUE!</v>
      </c>
      <c r="R15" s="9"/>
      <c r="S15" s="9"/>
      <c r="V15">
        <v>1</v>
      </c>
      <c r="W15" t="s">
        <v>127</v>
      </c>
      <c r="X15">
        <v>5</v>
      </c>
      <c r="Y15" t="s">
        <v>119</v>
      </c>
      <c r="Z15">
        <v>2</v>
      </c>
      <c r="AA15" t="s">
        <v>130</v>
      </c>
      <c r="AB15">
        <v>1</v>
      </c>
      <c r="AC15" t="s">
        <v>122</v>
      </c>
      <c r="AE15" t="s">
        <v>175</v>
      </c>
      <c r="AG15" t="s">
        <v>175</v>
      </c>
      <c r="AI15" t="s">
        <v>175</v>
      </c>
      <c r="AO15" t="s">
        <v>127</v>
      </c>
      <c r="AP15" t="s">
        <v>119</v>
      </c>
      <c r="AQ15" t="s">
        <v>130</v>
      </c>
      <c r="AR15" t="s">
        <v>122</v>
      </c>
      <c r="AS15" t="s">
        <v>175</v>
      </c>
      <c r="AT15" t="s">
        <v>175</v>
      </c>
      <c r="AU15" t="s">
        <v>175</v>
      </c>
    </row>
    <row r="16" spans="2:47" x14ac:dyDescent="0.3">
      <c r="B16" s="5">
        <v>45577</v>
      </c>
      <c r="C16" s="5">
        <v>46005</v>
      </c>
      <c r="D16" t="s">
        <v>25</v>
      </c>
      <c r="E16" t="s">
        <v>207</v>
      </c>
      <c r="F16" s="6">
        <v>0</v>
      </c>
      <c r="G16" s="6">
        <v>13500</v>
      </c>
      <c r="P16" t="e">
        <f t="shared" ca="1" si="0"/>
        <v>#NAME?</v>
      </c>
      <c r="Q16" t="e">
        <f t="shared" si="1"/>
        <v>#VALUE!</v>
      </c>
      <c r="R16" s="9"/>
      <c r="S16" s="9"/>
      <c r="V16">
        <v>3</v>
      </c>
      <c r="W16" t="s">
        <v>119</v>
      </c>
      <c r="X16">
        <v>4</v>
      </c>
      <c r="Y16" t="s">
        <v>120</v>
      </c>
      <c r="AA16" t="s">
        <v>175</v>
      </c>
      <c r="AC16" t="s">
        <v>175</v>
      </c>
      <c r="AE16" t="s">
        <v>175</v>
      </c>
      <c r="AG16" t="s">
        <v>175</v>
      </c>
      <c r="AI16" t="s">
        <v>175</v>
      </c>
      <c r="AO16" t="s">
        <v>119</v>
      </c>
      <c r="AP16" t="s">
        <v>120</v>
      </c>
      <c r="AQ16" t="s">
        <v>175</v>
      </c>
      <c r="AR16" t="s">
        <v>175</v>
      </c>
      <c r="AS16" t="s">
        <v>175</v>
      </c>
      <c r="AT16" t="s">
        <v>175</v>
      </c>
      <c r="AU16" t="s">
        <v>175</v>
      </c>
    </row>
    <row r="17" spans="2:47" x14ac:dyDescent="0.3">
      <c r="B17" s="5">
        <v>45577</v>
      </c>
      <c r="D17" t="s">
        <v>26</v>
      </c>
      <c r="E17" t="s">
        <v>183</v>
      </c>
      <c r="F17" s="6">
        <v>60000</v>
      </c>
      <c r="G17" s="6">
        <v>60000</v>
      </c>
      <c r="P17" t="e">
        <f t="shared" ca="1" si="0"/>
        <v>#NAME?</v>
      </c>
      <c r="Q17" t="e">
        <f t="shared" si="1"/>
        <v>#VALUE!</v>
      </c>
      <c r="R17" s="9"/>
      <c r="S17" s="9"/>
      <c r="V17">
        <v>1</v>
      </c>
      <c r="W17" t="s">
        <v>138</v>
      </c>
      <c r="X17">
        <v>2</v>
      </c>
      <c r="Y17" t="s">
        <v>127</v>
      </c>
      <c r="Z17">
        <v>1</v>
      </c>
      <c r="AA17" t="s">
        <v>124</v>
      </c>
      <c r="AB17">
        <v>5</v>
      </c>
      <c r="AC17" t="s">
        <v>175</v>
      </c>
      <c r="AE17" t="s">
        <v>119</v>
      </c>
      <c r="AG17" t="s">
        <v>175</v>
      </c>
      <c r="AI17" t="s">
        <v>175</v>
      </c>
      <c r="AO17" t="s">
        <v>138</v>
      </c>
      <c r="AP17" t="s">
        <v>127</v>
      </c>
      <c r="AQ17" t="s">
        <v>124</v>
      </c>
      <c r="AR17" t="s">
        <v>175</v>
      </c>
      <c r="AS17" t="s">
        <v>119</v>
      </c>
      <c r="AT17" t="s">
        <v>175</v>
      </c>
      <c r="AU17" t="s">
        <v>175</v>
      </c>
    </row>
    <row r="18" spans="2:47" x14ac:dyDescent="0.3">
      <c r="B18" s="5">
        <v>45642</v>
      </c>
      <c r="C18" s="5">
        <v>45647</v>
      </c>
      <c r="D18" t="s">
        <v>27</v>
      </c>
      <c r="E18" t="s">
        <v>208</v>
      </c>
      <c r="F18" s="6">
        <v>20000</v>
      </c>
      <c r="G18" s="6">
        <v>20000</v>
      </c>
      <c r="P18" t="e">
        <f t="shared" ca="1" si="0"/>
        <v>#NAME?</v>
      </c>
      <c r="Q18" t="e">
        <f t="shared" si="1"/>
        <v>#VALUE!</v>
      </c>
      <c r="R18" s="9"/>
      <c r="S18" s="9"/>
      <c r="V18">
        <v>1</v>
      </c>
      <c r="W18" t="s">
        <v>126</v>
      </c>
      <c r="X18">
        <v>6</v>
      </c>
      <c r="Y18" t="s">
        <v>119</v>
      </c>
      <c r="Z18">
        <v>2</v>
      </c>
      <c r="AA18" t="s">
        <v>120</v>
      </c>
      <c r="AC18" t="s">
        <v>175</v>
      </c>
      <c r="AE18" t="s">
        <v>175</v>
      </c>
      <c r="AG18" t="s">
        <v>175</v>
      </c>
      <c r="AI18" t="s">
        <v>175</v>
      </c>
      <c r="AO18" t="s">
        <v>126</v>
      </c>
      <c r="AP18" t="s">
        <v>119</v>
      </c>
      <c r="AQ18" t="s">
        <v>120</v>
      </c>
      <c r="AR18" t="s">
        <v>175</v>
      </c>
      <c r="AS18" t="s">
        <v>175</v>
      </c>
      <c r="AT18" t="s">
        <v>175</v>
      </c>
      <c r="AU18" t="s">
        <v>175</v>
      </c>
    </row>
    <row r="19" spans="2:47" x14ac:dyDescent="0.3">
      <c r="B19" s="5">
        <v>45642</v>
      </c>
      <c r="C19" s="5">
        <v>45682</v>
      </c>
      <c r="D19" t="s">
        <v>28</v>
      </c>
      <c r="E19" t="s">
        <v>178</v>
      </c>
      <c r="F19" s="6">
        <v>400000</v>
      </c>
      <c r="G19" s="6">
        <v>400000</v>
      </c>
      <c r="P19" t="e">
        <f t="shared" ca="1" si="0"/>
        <v>#NAME?</v>
      </c>
      <c r="Q19" t="e">
        <f t="shared" si="1"/>
        <v>#VALUE!</v>
      </c>
      <c r="R19" s="9"/>
      <c r="S19" s="9"/>
      <c r="V19">
        <v>2</v>
      </c>
      <c r="W19" t="s">
        <v>138</v>
      </c>
      <c r="X19">
        <v>1</v>
      </c>
      <c r="Y19" t="s">
        <v>175</v>
      </c>
      <c r="AA19" t="s">
        <v>175</v>
      </c>
      <c r="AC19" t="s">
        <v>175</v>
      </c>
      <c r="AE19" t="s">
        <v>175</v>
      </c>
      <c r="AG19" t="s">
        <v>175</v>
      </c>
      <c r="AI19" t="s">
        <v>175</v>
      </c>
      <c r="AO19" t="s">
        <v>138</v>
      </c>
      <c r="AP19" t="s">
        <v>175</v>
      </c>
      <c r="AQ19" t="s">
        <v>175</v>
      </c>
      <c r="AR19" t="s">
        <v>175</v>
      </c>
      <c r="AS19" t="s">
        <v>175</v>
      </c>
      <c r="AT19" t="s">
        <v>175</v>
      </c>
      <c r="AU19" t="s">
        <v>175</v>
      </c>
    </row>
    <row r="20" spans="2:47" x14ac:dyDescent="0.3">
      <c r="B20" s="5">
        <v>45642</v>
      </c>
      <c r="C20" s="5">
        <v>45649</v>
      </c>
      <c r="D20" t="s">
        <v>29</v>
      </c>
      <c r="E20" t="s">
        <v>209</v>
      </c>
      <c r="F20" s="6">
        <v>28000</v>
      </c>
      <c r="G20" s="6">
        <v>28000</v>
      </c>
      <c r="P20" t="e">
        <f t="shared" ca="1" si="0"/>
        <v>#NAME?</v>
      </c>
      <c r="Q20" t="e">
        <f t="shared" si="1"/>
        <v>#VALUE!</v>
      </c>
      <c r="R20" s="9"/>
      <c r="S20" s="9"/>
      <c r="V20">
        <v>2</v>
      </c>
      <c r="W20" t="s">
        <v>126</v>
      </c>
      <c r="X20">
        <v>4</v>
      </c>
      <c r="Y20" t="s">
        <v>119</v>
      </c>
      <c r="AA20" t="s">
        <v>175</v>
      </c>
      <c r="AC20" t="s">
        <v>175</v>
      </c>
      <c r="AE20" t="s">
        <v>175</v>
      </c>
      <c r="AG20" t="s">
        <v>175</v>
      </c>
      <c r="AI20" t="s">
        <v>175</v>
      </c>
      <c r="AO20" t="s">
        <v>126</v>
      </c>
      <c r="AP20" t="s">
        <v>119</v>
      </c>
      <c r="AQ20" t="s">
        <v>175</v>
      </c>
      <c r="AR20" t="s">
        <v>175</v>
      </c>
      <c r="AS20" t="s">
        <v>175</v>
      </c>
      <c r="AT20" t="s">
        <v>175</v>
      </c>
      <c r="AU20" t="s">
        <v>175</v>
      </c>
    </row>
    <row r="21" spans="2:47" x14ac:dyDescent="0.3">
      <c r="B21" s="5">
        <v>45643</v>
      </c>
      <c r="C21" s="5">
        <v>45649</v>
      </c>
      <c r="D21" t="s">
        <v>30</v>
      </c>
      <c r="E21" t="s">
        <v>210</v>
      </c>
      <c r="F21" s="6">
        <v>22000</v>
      </c>
      <c r="G21" s="6">
        <v>22000</v>
      </c>
      <c r="P21" t="e">
        <f t="shared" ca="1" si="0"/>
        <v>#NAME?</v>
      </c>
      <c r="Q21" t="e">
        <f t="shared" si="1"/>
        <v>#VALUE!</v>
      </c>
      <c r="R21" s="9"/>
      <c r="S21" s="9"/>
      <c r="V21">
        <v>1</v>
      </c>
      <c r="W21" t="s">
        <v>126</v>
      </c>
      <c r="X21">
        <v>10</v>
      </c>
      <c r="Y21" t="s">
        <v>119</v>
      </c>
      <c r="Z21">
        <v>6</v>
      </c>
      <c r="AA21" t="s">
        <v>131</v>
      </c>
      <c r="AC21" t="s">
        <v>175</v>
      </c>
      <c r="AE21" t="s">
        <v>175</v>
      </c>
      <c r="AG21" t="s">
        <v>175</v>
      </c>
      <c r="AI21" t="s">
        <v>175</v>
      </c>
      <c r="AO21" t="s">
        <v>126</v>
      </c>
      <c r="AP21" t="s">
        <v>119</v>
      </c>
      <c r="AQ21" t="s">
        <v>131</v>
      </c>
      <c r="AR21" t="s">
        <v>175</v>
      </c>
      <c r="AS21" t="s">
        <v>175</v>
      </c>
      <c r="AT21" t="s">
        <v>175</v>
      </c>
      <c r="AU21" t="s">
        <v>175</v>
      </c>
    </row>
    <row r="22" spans="2:47" x14ac:dyDescent="0.3">
      <c r="B22" s="5">
        <v>45646</v>
      </c>
      <c r="C22" s="5">
        <v>45646</v>
      </c>
      <c r="D22" t="s">
        <v>31</v>
      </c>
      <c r="E22" t="s">
        <v>211</v>
      </c>
      <c r="F22" s="6">
        <v>8000</v>
      </c>
      <c r="G22" s="6">
        <v>8000</v>
      </c>
      <c r="P22" t="e">
        <f t="shared" ca="1" si="0"/>
        <v>#NAME?</v>
      </c>
      <c r="Q22" t="e">
        <f t="shared" si="1"/>
        <v>#VALUE!</v>
      </c>
      <c r="R22" s="9"/>
      <c r="S22" s="9"/>
      <c r="V22">
        <v>3</v>
      </c>
      <c r="W22" t="s">
        <v>119</v>
      </c>
      <c r="X22">
        <v>1</v>
      </c>
      <c r="Y22" t="s">
        <v>122</v>
      </c>
      <c r="AA22" t="s">
        <v>175</v>
      </c>
      <c r="AC22" t="s">
        <v>175</v>
      </c>
      <c r="AE22" t="s">
        <v>175</v>
      </c>
      <c r="AG22" t="s">
        <v>175</v>
      </c>
      <c r="AI22" t="s">
        <v>175</v>
      </c>
      <c r="AO22" t="s">
        <v>119</v>
      </c>
      <c r="AP22" t="s">
        <v>122</v>
      </c>
      <c r="AQ22" t="s">
        <v>175</v>
      </c>
      <c r="AR22" t="s">
        <v>175</v>
      </c>
      <c r="AS22" t="s">
        <v>175</v>
      </c>
      <c r="AT22" t="s">
        <v>175</v>
      </c>
      <c r="AU22" t="s">
        <v>175</v>
      </c>
    </row>
    <row r="23" spans="2:47" x14ac:dyDescent="0.3">
      <c r="B23" s="5">
        <v>45646</v>
      </c>
      <c r="C23" s="5">
        <v>45651</v>
      </c>
      <c r="D23" t="s">
        <v>15</v>
      </c>
      <c r="E23" t="s">
        <v>212</v>
      </c>
      <c r="F23" s="6">
        <v>12000</v>
      </c>
      <c r="G23" s="6">
        <v>12000</v>
      </c>
      <c r="P23" t="e">
        <f t="shared" ca="1" si="0"/>
        <v>#NAME?</v>
      </c>
      <c r="Q23" t="e">
        <f t="shared" si="1"/>
        <v>#VALUE!</v>
      </c>
      <c r="R23" s="9"/>
      <c r="S23" s="9"/>
      <c r="V23">
        <v>1</v>
      </c>
      <c r="W23" t="s">
        <v>126</v>
      </c>
      <c r="X23">
        <v>2</v>
      </c>
      <c r="Y23" t="s">
        <v>119</v>
      </c>
      <c r="Z23">
        <v>3</v>
      </c>
      <c r="AA23" t="s">
        <v>130</v>
      </c>
      <c r="AC23" t="s">
        <v>175</v>
      </c>
      <c r="AE23" t="s">
        <v>175</v>
      </c>
      <c r="AG23" t="s">
        <v>175</v>
      </c>
      <c r="AI23" t="s">
        <v>175</v>
      </c>
      <c r="AO23" t="s">
        <v>126</v>
      </c>
      <c r="AP23" t="s">
        <v>119</v>
      </c>
      <c r="AQ23" t="s">
        <v>130</v>
      </c>
      <c r="AR23" t="s">
        <v>175</v>
      </c>
      <c r="AS23" t="s">
        <v>175</v>
      </c>
      <c r="AT23" t="s">
        <v>175</v>
      </c>
      <c r="AU23" t="s">
        <v>175</v>
      </c>
    </row>
    <row r="24" spans="2:47" x14ac:dyDescent="0.3">
      <c r="B24" s="5">
        <v>45646</v>
      </c>
      <c r="C24" s="5">
        <v>45654</v>
      </c>
      <c r="D24" t="s">
        <v>32</v>
      </c>
      <c r="E24" t="s">
        <v>184</v>
      </c>
      <c r="F24" s="6">
        <v>29000</v>
      </c>
      <c r="G24" s="6">
        <v>29000</v>
      </c>
      <c r="P24" t="e">
        <f t="shared" ca="1" si="0"/>
        <v>#NAME?</v>
      </c>
      <c r="Q24" t="e">
        <f t="shared" si="1"/>
        <v>#VALUE!</v>
      </c>
      <c r="R24" s="9"/>
      <c r="S24" s="9"/>
      <c r="V24">
        <v>2</v>
      </c>
      <c r="W24" t="s">
        <v>126</v>
      </c>
      <c r="X24">
        <v>4</v>
      </c>
      <c r="Y24" t="s">
        <v>119</v>
      </c>
      <c r="Z24">
        <v>4</v>
      </c>
      <c r="AA24" t="s">
        <v>130</v>
      </c>
      <c r="AC24" t="s">
        <v>175</v>
      </c>
      <c r="AE24" t="s">
        <v>175</v>
      </c>
      <c r="AG24" t="s">
        <v>175</v>
      </c>
      <c r="AI24" t="s">
        <v>175</v>
      </c>
      <c r="AO24" t="s">
        <v>126</v>
      </c>
      <c r="AP24" t="s">
        <v>119</v>
      </c>
      <c r="AQ24" t="s">
        <v>130</v>
      </c>
      <c r="AR24" t="s">
        <v>175</v>
      </c>
      <c r="AS24" t="s">
        <v>175</v>
      </c>
      <c r="AT24" t="s">
        <v>175</v>
      </c>
      <c r="AU24" t="s">
        <v>175</v>
      </c>
    </row>
    <row r="25" spans="2:47" x14ac:dyDescent="0.3">
      <c r="B25" s="5">
        <v>45646</v>
      </c>
      <c r="C25" s="5">
        <v>45654</v>
      </c>
      <c r="D25" t="s">
        <v>33</v>
      </c>
      <c r="E25" t="s">
        <v>213</v>
      </c>
      <c r="F25" s="6">
        <v>37000</v>
      </c>
      <c r="G25" s="6">
        <v>37000</v>
      </c>
      <c r="P25" t="e">
        <f t="shared" ca="1" si="0"/>
        <v>#NAME?</v>
      </c>
      <c r="Q25" t="e">
        <f t="shared" si="1"/>
        <v>#VALUE!</v>
      </c>
      <c r="R25" s="9"/>
      <c r="S25" s="9"/>
      <c r="V25">
        <v>2</v>
      </c>
      <c r="W25" t="s">
        <v>126</v>
      </c>
      <c r="X25">
        <v>4</v>
      </c>
      <c r="Y25" t="s">
        <v>119</v>
      </c>
      <c r="Z25">
        <v>4</v>
      </c>
      <c r="AA25" t="s">
        <v>130</v>
      </c>
      <c r="AC25" t="s">
        <v>175</v>
      </c>
      <c r="AE25" t="s">
        <v>175</v>
      </c>
      <c r="AG25" t="s">
        <v>175</v>
      </c>
      <c r="AI25" t="s">
        <v>175</v>
      </c>
      <c r="AO25" t="s">
        <v>126</v>
      </c>
      <c r="AP25" t="s">
        <v>119</v>
      </c>
      <c r="AQ25" t="s">
        <v>130</v>
      </c>
      <c r="AR25" t="s">
        <v>175</v>
      </c>
      <c r="AS25" t="s">
        <v>175</v>
      </c>
      <c r="AT25" t="s">
        <v>175</v>
      </c>
      <c r="AU25" t="s">
        <v>175</v>
      </c>
    </row>
    <row r="26" spans="2:47" x14ac:dyDescent="0.3">
      <c r="B26" s="5">
        <v>45648</v>
      </c>
      <c r="C26" s="5">
        <v>45658</v>
      </c>
      <c r="D26" t="s">
        <v>34</v>
      </c>
      <c r="E26" t="s">
        <v>214</v>
      </c>
      <c r="F26" s="6">
        <v>35000</v>
      </c>
      <c r="G26" s="6">
        <v>35000</v>
      </c>
      <c r="P26" t="e">
        <f t="shared" ca="1" si="0"/>
        <v>#NAME?</v>
      </c>
      <c r="Q26" t="e">
        <f t="shared" si="1"/>
        <v>#VALUE!</v>
      </c>
      <c r="R26" s="9"/>
      <c r="S26" s="9"/>
      <c r="V26">
        <v>1</v>
      </c>
      <c r="W26" t="s">
        <v>127</v>
      </c>
      <c r="X26">
        <v>5</v>
      </c>
      <c r="Y26" t="s">
        <v>119</v>
      </c>
      <c r="Z26">
        <v>12</v>
      </c>
      <c r="AA26" t="s">
        <v>120</v>
      </c>
      <c r="AC26" t="s">
        <v>175</v>
      </c>
      <c r="AE26" t="s">
        <v>175</v>
      </c>
      <c r="AG26" t="s">
        <v>175</v>
      </c>
      <c r="AI26" t="s">
        <v>175</v>
      </c>
      <c r="AO26" t="s">
        <v>127</v>
      </c>
      <c r="AP26" t="s">
        <v>119</v>
      </c>
      <c r="AQ26" t="s">
        <v>120</v>
      </c>
      <c r="AR26" t="s">
        <v>175</v>
      </c>
      <c r="AS26" t="s">
        <v>175</v>
      </c>
      <c r="AT26" t="s">
        <v>175</v>
      </c>
      <c r="AU26" t="s">
        <v>175</v>
      </c>
    </row>
    <row r="27" spans="2:47" x14ac:dyDescent="0.3">
      <c r="B27" s="5">
        <v>45652</v>
      </c>
      <c r="C27" s="5">
        <v>45653</v>
      </c>
      <c r="D27" t="s">
        <v>35</v>
      </c>
      <c r="E27" t="s">
        <v>185</v>
      </c>
      <c r="F27" s="6">
        <v>6500</v>
      </c>
      <c r="G27" s="6">
        <v>6500</v>
      </c>
      <c r="P27" t="e">
        <f t="shared" ca="1" si="0"/>
        <v>#NAME?</v>
      </c>
      <c r="Q27" t="e">
        <f t="shared" si="1"/>
        <v>#VALUE!</v>
      </c>
      <c r="R27" s="9"/>
      <c r="S27" s="9"/>
      <c r="V27">
        <v>2</v>
      </c>
      <c r="W27" t="s">
        <v>119</v>
      </c>
      <c r="X27">
        <v>2</v>
      </c>
      <c r="Y27" t="s">
        <v>130</v>
      </c>
      <c r="AA27" t="s">
        <v>175</v>
      </c>
      <c r="AC27" t="s">
        <v>175</v>
      </c>
      <c r="AE27" t="s">
        <v>175</v>
      </c>
      <c r="AG27" t="s">
        <v>175</v>
      </c>
      <c r="AI27" t="s">
        <v>175</v>
      </c>
      <c r="AO27" t="s">
        <v>119</v>
      </c>
      <c r="AP27" t="s">
        <v>130</v>
      </c>
      <c r="AQ27" t="s">
        <v>175</v>
      </c>
      <c r="AR27" t="s">
        <v>175</v>
      </c>
      <c r="AS27" t="s">
        <v>175</v>
      </c>
      <c r="AT27" t="s">
        <v>175</v>
      </c>
      <c r="AU27" t="s">
        <v>175</v>
      </c>
    </row>
    <row r="28" spans="2:47" x14ac:dyDescent="0.3">
      <c r="B28" s="5">
        <v>45653</v>
      </c>
      <c r="C28" s="5">
        <v>45653</v>
      </c>
      <c r="D28" t="s">
        <v>36</v>
      </c>
      <c r="E28" t="s">
        <v>37</v>
      </c>
      <c r="F28" s="6">
        <v>0</v>
      </c>
      <c r="G28" s="6">
        <v>0</v>
      </c>
      <c r="P28" t="e">
        <f t="shared" ca="1" si="0"/>
        <v>#NAME?</v>
      </c>
      <c r="Q28" t="e">
        <f t="shared" si="1"/>
        <v>#VALUE!</v>
      </c>
      <c r="R28" s="9"/>
      <c r="S28" s="9"/>
      <c r="V28">
        <v>2</v>
      </c>
      <c r="W28" t="s">
        <v>127</v>
      </c>
      <c r="X28">
        <v>2</v>
      </c>
      <c r="Y28" t="s">
        <v>120</v>
      </c>
      <c r="AA28" t="s">
        <v>175</v>
      </c>
      <c r="AC28" t="s">
        <v>175</v>
      </c>
      <c r="AE28" t="s">
        <v>175</v>
      </c>
      <c r="AG28" t="s">
        <v>175</v>
      </c>
      <c r="AI28" t="s">
        <v>175</v>
      </c>
      <c r="AO28" t="s">
        <v>127</v>
      </c>
      <c r="AP28" t="s">
        <v>120</v>
      </c>
      <c r="AQ28" t="s">
        <v>175</v>
      </c>
      <c r="AR28" t="s">
        <v>175</v>
      </c>
      <c r="AS28" t="s">
        <v>175</v>
      </c>
      <c r="AT28" t="s">
        <v>175</v>
      </c>
      <c r="AU28" t="s">
        <v>175</v>
      </c>
    </row>
    <row r="29" spans="2:47" x14ac:dyDescent="0.3">
      <c r="B29" s="5">
        <v>45666</v>
      </c>
      <c r="C29" s="5">
        <v>45676</v>
      </c>
      <c r="D29" t="s">
        <v>38</v>
      </c>
      <c r="E29" t="s">
        <v>215</v>
      </c>
      <c r="F29" s="6">
        <v>0</v>
      </c>
      <c r="G29" s="6">
        <v>10000</v>
      </c>
      <c r="P29" t="e">
        <f t="shared" ca="1" si="0"/>
        <v>#NAME?</v>
      </c>
      <c r="Q29" t="e">
        <f t="shared" si="1"/>
        <v>#VALUE!</v>
      </c>
      <c r="R29" s="9"/>
      <c r="S29" s="9"/>
      <c r="V29">
        <v>1</v>
      </c>
      <c r="W29" t="s">
        <v>126</v>
      </c>
      <c r="X29">
        <v>3</v>
      </c>
      <c r="Y29" t="s">
        <v>119</v>
      </c>
      <c r="Z29">
        <v>3</v>
      </c>
      <c r="AA29" t="s">
        <v>130</v>
      </c>
      <c r="AC29" t="s">
        <v>175</v>
      </c>
      <c r="AE29" t="s">
        <v>175</v>
      </c>
      <c r="AG29" t="s">
        <v>175</v>
      </c>
      <c r="AI29" t="s">
        <v>175</v>
      </c>
      <c r="AO29" t="s">
        <v>126</v>
      </c>
      <c r="AP29" t="s">
        <v>119</v>
      </c>
      <c r="AQ29" t="s">
        <v>130</v>
      </c>
      <c r="AR29" t="s">
        <v>175</v>
      </c>
      <c r="AS29" t="s">
        <v>175</v>
      </c>
      <c r="AT29" t="s">
        <v>175</v>
      </c>
      <c r="AU29" t="s">
        <v>175</v>
      </c>
    </row>
    <row r="30" spans="2:47" x14ac:dyDescent="0.3">
      <c r="B30" s="5">
        <v>45666</v>
      </c>
      <c r="C30" s="5">
        <v>45962</v>
      </c>
      <c r="D30" t="s">
        <v>39</v>
      </c>
      <c r="E30" t="s">
        <v>179</v>
      </c>
      <c r="F30" s="6">
        <v>0</v>
      </c>
      <c r="G30" s="6">
        <v>7000</v>
      </c>
      <c r="P30" t="e">
        <f t="shared" ca="1" si="0"/>
        <v>#NAME?</v>
      </c>
      <c r="Q30" t="e">
        <f t="shared" si="1"/>
        <v>#VALUE!</v>
      </c>
      <c r="R30" s="9"/>
      <c r="S30" s="9"/>
      <c r="V30">
        <v>1</v>
      </c>
      <c r="W30" t="s">
        <v>40</v>
      </c>
      <c r="Y30" t="s">
        <v>175</v>
      </c>
      <c r="AA30" t="s">
        <v>175</v>
      </c>
      <c r="AC30" t="s">
        <v>175</v>
      </c>
      <c r="AE30" t="s">
        <v>175</v>
      </c>
      <c r="AG30" t="s">
        <v>175</v>
      </c>
      <c r="AI30" t="s">
        <v>175</v>
      </c>
      <c r="AO30" t="s">
        <v>40</v>
      </c>
      <c r="AP30" t="s">
        <v>175</v>
      </c>
      <c r="AQ30" t="s">
        <v>175</v>
      </c>
      <c r="AR30" t="s">
        <v>175</v>
      </c>
      <c r="AS30" t="s">
        <v>175</v>
      </c>
      <c r="AT30" t="s">
        <v>175</v>
      </c>
      <c r="AU30" t="s">
        <v>175</v>
      </c>
    </row>
    <row r="31" spans="2:47" x14ac:dyDescent="0.3">
      <c r="B31" s="5">
        <v>45676</v>
      </c>
      <c r="C31" s="5">
        <v>45703</v>
      </c>
      <c r="D31" t="s">
        <v>41</v>
      </c>
      <c r="E31" t="s">
        <v>177</v>
      </c>
      <c r="F31" s="6">
        <v>30000</v>
      </c>
      <c r="G31" s="6">
        <v>30000</v>
      </c>
      <c r="P31" t="e">
        <f t="shared" ca="1" si="0"/>
        <v>#NAME?</v>
      </c>
      <c r="Q31" t="e">
        <f t="shared" si="1"/>
        <v>#VALUE!</v>
      </c>
      <c r="R31" s="9"/>
      <c r="S31" s="9"/>
      <c r="V31">
        <v>1</v>
      </c>
      <c r="W31" t="s">
        <v>128</v>
      </c>
      <c r="X31">
        <v>20</v>
      </c>
      <c r="Y31" t="s">
        <v>120</v>
      </c>
      <c r="AA31" t="s">
        <v>175</v>
      </c>
      <c r="AC31" t="s">
        <v>175</v>
      </c>
      <c r="AE31" t="s">
        <v>175</v>
      </c>
      <c r="AG31" t="s">
        <v>175</v>
      </c>
      <c r="AI31" t="s">
        <v>175</v>
      </c>
      <c r="AO31" t="s">
        <v>128</v>
      </c>
      <c r="AP31" t="s">
        <v>120</v>
      </c>
      <c r="AQ31" t="s">
        <v>175</v>
      </c>
      <c r="AR31" t="s">
        <v>175</v>
      </c>
      <c r="AS31" t="s">
        <v>175</v>
      </c>
      <c r="AT31" t="s">
        <v>175</v>
      </c>
      <c r="AU31" t="s">
        <v>175</v>
      </c>
    </row>
    <row r="32" spans="2:47" x14ac:dyDescent="0.3">
      <c r="B32" s="5">
        <v>45682</v>
      </c>
      <c r="C32" s="5">
        <v>45660</v>
      </c>
      <c r="D32" t="s">
        <v>42</v>
      </c>
      <c r="E32" t="s">
        <v>216</v>
      </c>
      <c r="F32" s="6">
        <v>64000</v>
      </c>
      <c r="G32" s="6">
        <v>64000</v>
      </c>
      <c r="P32" t="e">
        <f t="shared" ca="1" si="0"/>
        <v>#NAME?</v>
      </c>
      <c r="Q32" t="e">
        <f t="shared" si="1"/>
        <v>#VALUE!</v>
      </c>
      <c r="R32" s="9"/>
      <c r="S32" s="9"/>
      <c r="V32">
        <v>1</v>
      </c>
      <c r="W32" t="s">
        <v>40</v>
      </c>
      <c r="X32">
        <v>15</v>
      </c>
      <c r="Y32" t="s">
        <v>119</v>
      </c>
      <c r="Z32">
        <v>4</v>
      </c>
      <c r="AA32" t="s">
        <v>131</v>
      </c>
      <c r="AC32" t="s">
        <v>175</v>
      </c>
      <c r="AE32" t="s">
        <v>175</v>
      </c>
      <c r="AG32" t="s">
        <v>175</v>
      </c>
      <c r="AI32" t="s">
        <v>175</v>
      </c>
      <c r="AO32" t="s">
        <v>40</v>
      </c>
      <c r="AP32" t="s">
        <v>119</v>
      </c>
      <c r="AQ32" t="s">
        <v>131</v>
      </c>
      <c r="AR32" t="s">
        <v>175</v>
      </c>
      <c r="AS32" t="s">
        <v>175</v>
      </c>
      <c r="AT32" t="s">
        <v>175</v>
      </c>
      <c r="AU32" t="s">
        <v>175</v>
      </c>
    </row>
    <row r="33" spans="2:47" x14ac:dyDescent="0.3">
      <c r="B33" s="5">
        <v>45686</v>
      </c>
      <c r="C33" s="5">
        <v>45687</v>
      </c>
      <c r="D33" t="s">
        <v>43</v>
      </c>
      <c r="E33" t="s">
        <v>186</v>
      </c>
      <c r="F33" s="6">
        <v>0</v>
      </c>
      <c r="G33" s="6">
        <v>62700</v>
      </c>
      <c r="P33" t="e">
        <f t="shared" ca="1" si="0"/>
        <v>#NAME?</v>
      </c>
      <c r="Q33" t="e">
        <f t="shared" si="1"/>
        <v>#VALUE!</v>
      </c>
      <c r="R33" s="9"/>
      <c r="S33" s="9"/>
      <c r="V33">
        <v>2</v>
      </c>
      <c r="W33" t="s">
        <v>127</v>
      </c>
      <c r="X33">
        <v>1</v>
      </c>
      <c r="Y33" t="s">
        <v>126</v>
      </c>
      <c r="Z33">
        <v>16</v>
      </c>
      <c r="AA33" t="s">
        <v>119</v>
      </c>
      <c r="AC33" t="s">
        <v>120</v>
      </c>
      <c r="AE33" t="s">
        <v>175</v>
      </c>
      <c r="AG33" t="s">
        <v>175</v>
      </c>
      <c r="AI33" t="s">
        <v>175</v>
      </c>
      <c r="AO33" t="s">
        <v>127</v>
      </c>
      <c r="AP33" t="s">
        <v>126</v>
      </c>
      <c r="AQ33" t="s">
        <v>119</v>
      </c>
      <c r="AR33" t="s">
        <v>120</v>
      </c>
      <c r="AS33" t="s">
        <v>175</v>
      </c>
      <c r="AT33" t="s">
        <v>175</v>
      </c>
      <c r="AU33" t="s">
        <v>175</v>
      </c>
    </row>
    <row r="34" spans="2:47" x14ac:dyDescent="0.3">
      <c r="B34" s="5">
        <v>45690</v>
      </c>
      <c r="C34" s="5">
        <v>45690</v>
      </c>
      <c r="D34" t="s">
        <v>44</v>
      </c>
      <c r="E34" t="s">
        <v>217</v>
      </c>
      <c r="F34" s="6">
        <v>80000</v>
      </c>
      <c r="G34" s="6">
        <v>80000</v>
      </c>
      <c r="P34" t="e">
        <f t="shared" ca="1" si="0"/>
        <v>#NAME?</v>
      </c>
      <c r="Q34" t="e">
        <f t="shared" si="1"/>
        <v>#VALUE!</v>
      </c>
      <c r="R34" s="9"/>
      <c r="S34" s="9"/>
      <c r="V34">
        <v>1</v>
      </c>
      <c r="W34" t="s">
        <v>127</v>
      </c>
      <c r="X34">
        <v>2</v>
      </c>
      <c r="Y34" t="s">
        <v>126</v>
      </c>
      <c r="Z34">
        <v>6</v>
      </c>
      <c r="AA34" t="s">
        <v>140</v>
      </c>
      <c r="AB34">
        <v>16</v>
      </c>
      <c r="AC34" t="s">
        <v>120</v>
      </c>
      <c r="AD34">
        <v>3</v>
      </c>
      <c r="AE34" t="s">
        <v>122</v>
      </c>
      <c r="AF34">
        <v>6</v>
      </c>
      <c r="AG34" t="s">
        <v>123</v>
      </c>
      <c r="AH34">
        <v>1</v>
      </c>
      <c r="AI34" t="s">
        <v>176</v>
      </c>
      <c r="AO34" t="s">
        <v>127</v>
      </c>
      <c r="AP34" t="s">
        <v>126</v>
      </c>
      <c r="AQ34" t="s">
        <v>140</v>
      </c>
      <c r="AR34" t="s">
        <v>120</v>
      </c>
      <c r="AS34" t="s">
        <v>122</v>
      </c>
      <c r="AT34" t="s">
        <v>123</v>
      </c>
      <c r="AU34" t="s">
        <v>176</v>
      </c>
    </row>
    <row r="35" spans="2:47" x14ac:dyDescent="0.3">
      <c r="B35" s="5">
        <v>45691</v>
      </c>
      <c r="C35" s="5">
        <v>45691</v>
      </c>
      <c r="D35" t="s">
        <v>46</v>
      </c>
      <c r="E35" t="s">
        <v>187</v>
      </c>
      <c r="F35" s="6">
        <v>25000</v>
      </c>
      <c r="G35" s="6">
        <v>25000</v>
      </c>
      <c r="P35" t="e">
        <f t="shared" ca="1" si="0"/>
        <v>#NAME?</v>
      </c>
      <c r="Q35" t="e">
        <f t="shared" si="1"/>
        <v>#VALUE!</v>
      </c>
      <c r="R35" s="9"/>
      <c r="S35" s="9"/>
      <c r="V35">
        <v>5</v>
      </c>
      <c r="W35" t="s">
        <v>140</v>
      </c>
      <c r="X35">
        <v>5</v>
      </c>
      <c r="Y35" t="s">
        <v>130</v>
      </c>
      <c r="Z35">
        <v>1</v>
      </c>
      <c r="AA35" t="s">
        <v>122</v>
      </c>
      <c r="AC35" t="s">
        <v>175</v>
      </c>
      <c r="AE35" t="s">
        <v>175</v>
      </c>
      <c r="AG35" t="s">
        <v>175</v>
      </c>
      <c r="AI35" t="s">
        <v>175</v>
      </c>
      <c r="AO35" t="s">
        <v>140</v>
      </c>
      <c r="AP35" t="s">
        <v>130</v>
      </c>
      <c r="AQ35" t="s">
        <v>122</v>
      </c>
      <c r="AR35" t="s">
        <v>175</v>
      </c>
      <c r="AS35" t="s">
        <v>175</v>
      </c>
      <c r="AT35" t="s">
        <v>175</v>
      </c>
      <c r="AU35" t="s">
        <v>175</v>
      </c>
    </row>
    <row r="36" spans="2:47" x14ac:dyDescent="0.3">
      <c r="B36" s="5">
        <v>45693</v>
      </c>
      <c r="C36" s="5">
        <v>45693</v>
      </c>
      <c r="D36" t="s">
        <v>47</v>
      </c>
      <c r="E36" t="s">
        <v>218</v>
      </c>
      <c r="F36" s="6">
        <v>20000</v>
      </c>
      <c r="G36" s="6">
        <v>10000</v>
      </c>
      <c r="P36" t="e">
        <f t="shared" ca="1" si="0"/>
        <v>#NAME?</v>
      </c>
      <c r="Q36" t="e">
        <f t="shared" si="1"/>
        <v>#VALUE!</v>
      </c>
      <c r="R36" s="9"/>
      <c r="S36" s="9"/>
      <c r="V36">
        <v>1</v>
      </c>
      <c r="W36" t="s">
        <v>126</v>
      </c>
      <c r="X36">
        <v>8</v>
      </c>
      <c r="Y36" t="s">
        <v>119</v>
      </c>
      <c r="Z36">
        <v>4</v>
      </c>
      <c r="AA36" t="s">
        <v>130</v>
      </c>
      <c r="AC36" t="s">
        <v>175</v>
      </c>
      <c r="AE36" t="s">
        <v>175</v>
      </c>
      <c r="AG36" t="s">
        <v>175</v>
      </c>
      <c r="AI36" t="s">
        <v>175</v>
      </c>
      <c r="AO36" t="s">
        <v>126</v>
      </c>
      <c r="AP36" t="s">
        <v>119</v>
      </c>
      <c r="AQ36" t="s">
        <v>130</v>
      </c>
      <c r="AR36" t="s">
        <v>175</v>
      </c>
      <c r="AS36" t="s">
        <v>175</v>
      </c>
      <c r="AT36" t="s">
        <v>175</v>
      </c>
      <c r="AU36" t="s">
        <v>175</v>
      </c>
    </row>
    <row r="37" spans="2:47" x14ac:dyDescent="0.3">
      <c r="B37" s="5">
        <v>45695</v>
      </c>
      <c r="C37" s="5">
        <v>45695</v>
      </c>
      <c r="D37" t="s">
        <v>48</v>
      </c>
      <c r="E37" t="s">
        <v>188</v>
      </c>
      <c r="F37" s="6">
        <v>5500</v>
      </c>
      <c r="G37" s="6">
        <v>5500</v>
      </c>
      <c r="P37" t="e">
        <f t="shared" ca="1" si="0"/>
        <v>#NAME?</v>
      </c>
      <c r="Q37" t="e">
        <f t="shared" si="1"/>
        <v>#VALUE!</v>
      </c>
      <c r="R37" s="9"/>
      <c r="S37" s="9"/>
      <c r="V37">
        <v>2</v>
      </c>
      <c r="W37" t="s">
        <v>119</v>
      </c>
      <c r="X37">
        <v>1</v>
      </c>
      <c r="Y37" t="s">
        <v>130</v>
      </c>
      <c r="AA37" t="s">
        <v>175</v>
      </c>
      <c r="AC37" t="s">
        <v>175</v>
      </c>
      <c r="AE37" t="s">
        <v>175</v>
      </c>
      <c r="AG37" t="s">
        <v>175</v>
      </c>
      <c r="AI37" t="s">
        <v>175</v>
      </c>
      <c r="AO37" t="s">
        <v>119</v>
      </c>
      <c r="AP37" t="s">
        <v>130</v>
      </c>
      <c r="AQ37" t="s">
        <v>175</v>
      </c>
      <c r="AR37" t="s">
        <v>175</v>
      </c>
      <c r="AS37" t="s">
        <v>175</v>
      </c>
      <c r="AT37" t="s">
        <v>175</v>
      </c>
      <c r="AU37" t="s">
        <v>175</v>
      </c>
    </row>
    <row r="38" spans="2:47" x14ac:dyDescent="0.3">
      <c r="B38" s="5">
        <v>45695</v>
      </c>
      <c r="C38" s="5">
        <v>45697</v>
      </c>
      <c r="D38" t="s">
        <v>49</v>
      </c>
      <c r="E38" t="s">
        <v>219</v>
      </c>
      <c r="F38" s="6">
        <v>35000</v>
      </c>
      <c r="G38" s="6">
        <v>0</v>
      </c>
      <c r="P38" t="e">
        <f t="shared" ca="1" si="0"/>
        <v>#NAME?</v>
      </c>
      <c r="Q38" t="e">
        <f t="shared" si="1"/>
        <v>#VALUE!</v>
      </c>
      <c r="R38" s="9"/>
      <c r="S38" s="9"/>
      <c r="V38">
        <v>1</v>
      </c>
      <c r="W38" t="s">
        <v>127</v>
      </c>
      <c r="X38">
        <v>5</v>
      </c>
      <c r="Y38" t="s">
        <v>119</v>
      </c>
      <c r="Z38">
        <v>10</v>
      </c>
      <c r="AA38" t="s">
        <v>120</v>
      </c>
      <c r="AB38">
        <v>2</v>
      </c>
      <c r="AC38" t="s">
        <v>121</v>
      </c>
      <c r="AD38">
        <v>1</v>
      </c>
      <c r="AE38" t="s">
        <v>122</v>
      </c>
      <c r="AG38" t="s">
        <v>175</v>
      </c>
      <c r="AI38" t="s">
        <v>175</v>
      </c>
      <c r="AO38" t="s">
        <v>127</v>
      </c>
      <c r="AP38" t="s">
        <v>119</v>
      </c>
      <c r="AQ38" t="s">
        <v>120</v>
      </c>
      <c r="AR38" t="s">
        <v>121</v>
      </c>
      <c r="AS38" t="s">
        <v>122</v>
      </c>
      <c r="AT38" t="s">
        <v>175</v>
      </c>
      <c r="AU38" t="s">
        <v>175</v>
      </c>
    </row>
    <row r="39" spans="2:47" x14ac:dyDescent="0.3">
      <c r="B39" s="5">
        <v>45696</v>
      </c>
      <c r="C39" s="5">
        <v>45703</v>
      </c>
      <c r="D39" t="s">
        <v>50</v>
      </c>
      <c r="E39" t="s">
        <v>220</v>
      </c>
      <c r="F39" s="6">
        <v>69000</v>
      </c>
      <c r="G39" s="6">
        <v>45000</v>
      </c>
      <c r="P39" t="e">
        <f t="shared" ca="1" si="0"/>
        <v>#NAME?</v>
      </c>
      <c r="Q39" t="e">
        <f t="shared" si="1"/>
        <v>#VALUE!</v>
      </c>
      <c r="R39" s="9"/>
      <c r="S39" s="9"/>
      <c r="V39">
        <v>1</v>
      </c>
      <c r="W39" t="s">
        <v>40</v>
      </c>
      <c r="X39">
        <v>9</v>
      </c>
      <c r="Y39" t="s">
        <v>119</v>
      </c>
      <c r="Z39">
        <v>12</v>
      </c>
      <c r="AA39" t="s">
        <v>120</v>
      </c>
      <c r="AB39">
        <v>2</v>
      </c>
      <c r="AC39" t="s">
        <v>131</v>
      </c>
      <c r="AD39">
        <v>2</v>
      </c>
      <c r="AE39" t="s">
        <v>122</v>
      </c>
      <c r="AG39" t="s">
        <v>175</v>
      </c>
      <c r="AI39" t="s">
        <v>175</v>
      </c>
      <c r="AO39" t="s">
        <v>40</v>
      </c>
      <c r="AP39" t="s">
        <v>119</v>
      </c>
      <c r="AQ39" t="s">
        <v>120</v>
      </c>
      <c r="AR39" t="s">
        <v>131</v>
      </c>
      <c r="AS39" t="s">
        <v>122</v>
      </c>
      <c r="AT39" t="s">
        <v>175</v>
      </c>
      <c r="AU39" t="s">
        <v>175</v>
      </c>
    </row>
    <row r="40" spans="2:47" x14ac:dyDescent="0.3">
      <c r="B40" s="5">
        <v>45697</v>
      </c>
      <c r="C40" s="5">
        <v>45697</v>
      </c>
      <c r="D40" t="s">
        <v>51</v>
      </c>
      <c r="E40" t="s">
        <v>221</v>
      </c>
      <c r="F40" s="6">
        <v>13500</v>
      </c>
      <c r="G40" s="6">
        <v>12000</v>
      </c>
      <c r="P40" t="e">
        <f t="shared" ca="1" si="0"/>
        <v>#NAME?</v>
      </c>
      <c r="Q40" t="e">
        <f t="shared" si="1"/>
        <v>#VALUE!</v>
      </c>
      <c r="R40" s="9"/>
      <c r="S40" s="9"/>
      <c r="V40">
        <v>7</v>
      </c>
      <c r="W40" t="s">
        <v>119</v>
      </c>
      <c r="X40">
        <v>11</v>
      </c>
      <c r="Y40" t="s">
        <v>120</v>
      </c>
      <c r="Z40">
        <v>3</v>
      </c>
      <c r="AA40" t="s">
        <v>121</v>
      </c>
      <c r="AC40" t="s">
        <v>175</v>
      </c>
      <c r="AE40" t="s">
        <v>175</v>
      </c>
      <c r="AG40" t="s">
        <v>175</v>
      </c>
      <c r="AI40" t="s">
        <v>175</v>
      </c>
      <c r="AO40" t="s">
        <v>119</v>
      </c>
      <c r="AP40" t="s">
        <v>120</v>
      </c>
      <c r="AQ40" t="s">
        <v>121</v>
      </c>
      <c r="AR40" t="s">
        <v>175</v>
      </c>
      <c r="AS40" t="s">
        <v>175</v>
      </c>
      <c r="AT40" t="s">
        <v>175</v>
      </c>
      <c r="AU40" t="s">
        <v>175</v>
      </c>
    </row>
    <row r="41" spans="2:47" x14ac:dyDescent="0.3">
      <c r="B41" s="5">
        <v>45697</v>
      </c>
      <c r="C41" s="5">
        <v>45697</v>
      </c>
      <c r="D41" t="s">
        <v>52</v>
      </c>
      <c r="E41" t="s">
        <v>222</v>
      </c>
      <c r="F41" s="6">
        <v>16000</v>
      </c>
      <c r="G41" s="6">
        <v>16000</v>
      </c>
      <c r="P41" t="e">
        <f t="shared" ca="1" si="0"/>
        <v>#NAME?</v>
      </c>
      <c r="Q41" t="e">
        <f t="shared" si="1"/>
        <v>#VALUE!</v>
      </c>
      <c r="R41" s="9"/>
      <c r="S41" s="9"/>
      <c r="V41">
        <v>1</v>
      </c>
      <c r="W41" t="s">
        <v>126</v>
      </c>
      <c r="X41">
        <v>3</v>
      </c>
      <c r="Y41" t="s">
        <v>119</v>
      </c>
      <c r="AA41" t="s">
        <v>175</v>
      </c>
      <c r="AC41" t="s">
        <v>175</v>
      </c>
      <c r="AE41" t="s">
        <v>175</v>
      </c>
      <c r="AG41" t="s">
        <v>175</v>
      </c>
      <c r="AI41" t="s">
        <v>175</v>
      </c>
      <c r="AO41" t="s">
        <v>126</v>
      </c>
      <c r="AP41" t="s">
        <v>119</v>
      </c>
      <c r="AQ41" t="s">
        <v>175</v>
      </c>
      <c r="AR41" t="s">
        <v>175</v>
      </c>
      <c r="AS41" t="s">
        <v>175</v>
      </c>
      <c r="AT41" t="s">
        <v>175</v>
      </c>
      <c r="AU41" t="s">
        <v>175</v>
      </c>
    </row>
    <row r="42" spans="2:47" x14ac:dyDescent="0.3">
      <c r="B42" s="5">
        <v>45697</v>
      </c>
      <c r="C42" s="5">
        <v>45711</v>
      </c>
      <c r="D42" t="s">
        <v>53</v>
      </c>
      <c r="E42" t="s">
        <v>223</v>
      </c>
      <c r="F42" s="6">
        <v>100000</v>
      </c>
      <c r="G42" s="6">
        <v>100000</v>
      </c>
      <c r="P42" t="e">
        <f t="shared" ca="1" si="0"/>
        <v>#NAME?</v>
      </c>
      <c r="Q42" t="e">
        <f t="shared" si="1"/>
        <v>#VALUE!</v>
      </c>
      <c r="R42" s="9"/>
      <c r="S42" s="9"/>
      <c r="V42">
        <v>1</v>
      </c>
      <c r="W42" t="s">
        <v>40</v>
      </c>
      <c r="X42">
        <v>13</v>
      </c>
      <c r="Y42" t="s">
        <v>119</v>
      </c>
      <c r="Z42">
        <v>20</v>
      </c>
      <c r="AA42" t="s">
        <v>120</v>
      </c>
      <c r="AB42">
        <v>2</v>
      </c>
      <c r="AC42" t="s">
        <v>121</v>
      </c>
      <c r="AD42">
        <v>3</v>
      </c>
      <c r="AE42" t="s">
        <v>123</v>
      </c>
      <c r="AF42">
        <v>1</v>
      </c>
      <c r="AG42" t="s">
        <v>126</v>
      </c>
      <c r="AI42" t="s">
        <v>175</v>
      </c>
      <c r="AO42" t="s">
        <v>40</v>
      </c>
      <c r="AP42" t="s">
        <v>119</v>
      </c>
      <c r="AQ42" t="s">
        <v>120</v>
      </c>
      <c r="AR42" t="s">
        <v>121</v>
      </c>
      <c r="AS42" t="s">
        <v>123</v>
      </c>
      <c r="AT42" t="s">
        <v>126</v>
      </c>
      <c r="AU42" t="s">
        <v>175</v>
      </c>
    </row>
    <row r="43" spans="2:47" x14ac:dyDescent="0.3">
      <c r="B43" s="5">
        <v>45700</v>
      </c>
      <c r="C43" s="5">
        <v>45704</v>
      </c>
      <c r="D43" t="s">
        <v>54</v>
      </c>
      <c r="E43" t="s">
        <v>180</v>
      </c>
      <c r="F43" s="6">
        <v>130000</v>
      </c>
      <c r="G43" s="6">
        <v>130000</v>
      </c>
      <c r="P43" t="e">
        <f t="shared" ca="1" si="0"/>
        <v>#NAME?</v>
      </c>
      <c r="Q43" t="e">
        <f t="shared" si="1"/>
        <v>#VALUE!</v>
      </c>
      <c r="R43" s="9"/>
      <c r="S43" s="9"/>
      <c r="V43">
        <v>1</v>
      </c>
      <c r="W43" t="s">
        <v>40</v>
      </c>
      <c r="X43">
        <v>60</v>
      </c>
      <c r="Y43" t="s">
        <v>140</v>
      </c>
      <c r="Z43">
        <v>20</v>
      </c>
      <c r="AA43" t="s">
        <v>130</v>
      </c>
      <c r="AC43" t="s">
        <v>175</v>
      </c>
      <c r="AE43" t="s">
        <v>175</v>
      </c>
      <c r="AG43" t="s">
        <v>175</v>
      </c>
      <c r="AI43" t="s">
        <v>175</v>
      </c>
      <c r="AO43" t="s">
        <v>40</v>
      </c>
      <c r="AP43" t="s">
        <v>140</v>
      </c>
      <c r="AQ43" t="s">
        <v>130</v>
      </c>
      <c r="AR43" t="s">
        <v>175</v>
      </c>
      <c r="AS43" t="s">
        <v>175</v>
      </c>
      <c r="AT43" t="s">
        <v>175</v>
      </c>
      <c r="AU43" t="s">
        <v>175</v>
      </c>
    </row>
    <row r="44" spans="2:47" x14ac:dyDescent="0.3">
      <c r="B44" s="5">
        <v>45700</v>
      </c>
      <c r="C44" s="5">
        <v>45703</v>
      </c>
      <c r="D44" t="s">
        <v>55</v>
      </c>
      <c r="E44" t="s">
        <v>224</v>
      </c>
      <c r="F44" s="6">
        <v>68600</v>
      </c>
      <c r="G44" s="6">
        <v>58000</v>
      </c>
      <c r="P44" t="e">
        <f t="shared" ca="1" si="0"/>
        <v>#NAME?</v>
      </c>
      <c r="Q44" t="e">
        <f t="shared" si="1"/>
        <v>#VALUE!</v>
      </c>
      <c r="R44" s="9"/>
      <c r="S44" s="9"/>
      <c r="V44">
        <v>1</v>
      </c>
      <c r="W44" t="s">
        <v>127</v>
      </c>
      <c r="X44">
        <v>1</v>
      </c>
      <c r="Y44" t="s">
        <v>126</v>
      </c>
      <c r="Z44">
        <v>10</v>
      </c>
      <c r="AA44" t="s">
        <v>140</v>
      </c>
      <c r="AB44">
        <v>16</v>
      </c>
      <c r="AC44" t="s">
        <v>130</v>
      </c>
      <c r="AE44" t="s">
        <v>175</v>
      </c>
      <c r="AG44" t="s">
        <v>175</v>
      </c>
      <c r="AI44" t="s">
        <v>175</v>
      </c>
      <c r="AO44" t="s">
        <v>127</v>
      </c>
      <c r="AP44" t="s">
        <v>126</v>
      </c>
      <c r="AQ44" t="s">
        <v>140</v>
      </c>
      <c r="AR44" t="s">
        <v>130</v>
      </c>
      <c r="AS44" t="s">
        <v>175</v>
      </c>
      <c r="AT44" t="s">
        <v>175</v>
      </c>
      <c r="AU44" t="s">
        <v>175</v>
      </c>
    </row>
    <row r="45" spans="2:47" x14ac:dyDescent="0.3">
      <c r="B45" s="5">
        <v>45703</v>
      </c>
      <c r="C45" s="5">
        <v>45704</v>
      </c>
      <c r="D45" t="s">
        <v>56</v>
      </c>
      <c r="E45" t="s">
        <v>225</v>
      </c>
      <c r="F45" s="6">
        <v>15000</v>
      </c>
      <c r="G45" s="6">
        <v>14000</v>
      </c>
      <c r="P45" t="e">
        <f t="shared" ca="1" si="0"/>
        <v>#NAME?</v>
      </c>
      <c r="Q45" t="e">
        <f t="shared" si="1"/>
        <v>#VALUE!</v>
      </c>
      <c r="R45" s="9"/>
      <c r="S45" s="9"/>
      <c r="V45">
        <v>1</v>
      </c>
      <c r="W45" t="s">
        <v>126</v>
      </c>
      <c r="X45">
        <v>2</v>
      </c>
      <c r="Y45" t="s">
        <v>119</v>
      </c>
      <c r="AA45" t="s">
        <v>175</v>
      </c>
      <c r="AC45" t="s">
        <v>175</v>
      </c>
      <c r="AE45" t="s">
        <v>175</v>
      </c>
      <c r="AG45" t="s">
        <v>175</v>
      </c>
      <c r="AI45" t="s">
        <v>175</v>
      </c>
      <c r="AO45" t="s">
        <v>126</v>
      </c>
      <c r="AP45" t="s">
        <v>119</v>
      </c>
      <c r="AQ45" t="s">
        <v>175</v>
      </c>
      <c r="AR45" t="s">
        <v>175</v>
      </c>
      <c r="AS45" t="s">
        <v>175</v>
      </c>
      <c r="AT45" t="s">
        <v>175</v>
      </c>
      <c r="AU45" t="s">
        <v>175</v>
      </c>
    </row>
    <row r="46" spans="2:47" x14ac:dyDescent="0.3">
      <c r="B46" s="5">
        <v>45703</v>
      </c>
      <c r="C46" s="5">
        <v>45703</v>
      </c>
      <c r="D46" t="s">
        <v>57</v>
      </c>
      <c r="E46" t="s">
        <v>58</v>
      </c>
      <c r="F46" s="6">
        <v>10000</v>
      </c>
      <c r="G46" s="6">
        <v>10000</v>
      </c>
      <c r="P46" t="e">
        <f t="shared" ca="1" si="0"/>
        <v>#NAME?</v>
      </c>
      <c r="Q46" t="e">
        <f t="shared" si="1"/>
        <v>#VALUE!</v>
      </c>
      <c r="R46" s="9"/>
      <c r="S46" s="9"/>
      <c r="V46">
        <v>1</v>
      </c>
      <c r="W46" t="s">
        <v>126</v>
      </c>
      <c r="Y46" t="s">
        <v>175</v>
      </c>
      <c r="AA46" t="s">
        <v>175</v>
      </c>
      <c r="AC46" t="s">
        <v>175</v>
      </c>
      <c r="AE46" t="s">
        <v>175</v>
      </c>
      <c r="AG46" t="s">
        <v>175</v>
      </c>
      <c r="AI46" t="s">
        <v>175</v>
      </c>
      <c r="AO46" t="s">
        <v>126</v>
      </c>
      <c r="AP46" t="s">
        <v>175</v>
      </c>
      <c r="AQ46" t="s">
        <v>175</v>
      </c>
      <c r="AR46" t="s">
        <v>175</v>
      </c>
      <c r="AS46" t="s">
        <v>175</v>
      </c>
      <c r="AT46" t="s">
        <v>175</v>
      </c>
      <c r="AU46" t="s">
        <v>175</v>
      </c>
    </row>
    <row r="47" spans="2:47" x14ac:dyDescent="0.3">
      <c r="B47" s="5">
        <v>45703</v>
      </c>
      <c r="C47" s="5">
        <v>45717</v>
      </c>
      <c r="D47" t="s">
        <v>59</v>
      </c>
      <c r="E47" t="s">
        <v>226</v>
      </c>
      <c r="F47" s="6">
        <v>60000</v>
      </c>
      <c r="G47" s="6">
        <v>60000</v>
      </c>
      <c r="P47" t="e">
        <f t="shared" ca="1" si="0"/>
        <v>#NAME?</v>
      </c>
      <c r="Q47" t="e">
        <f t="shared" si="1"/>
        <v>#VALUE!</v>
      </c>
      <c r="R47" s="9"/>
      <c r="S47" s="9"/>
      <c r="V47">
        <v>2</v>
      </c>
      <c r="W47" t="s">
        <v>127</v>
      </c>
      <c r="X47">
        <v>1</v>
      </c>
      <c r="Y47" t="s">
        <v>126</v>
      </c>
      <c r="Z47">
        <v>12</v>
      </c>
      <c r="AA47" t="s">
        <v>119</v>
      </c>
      <c r="AB47">
        <v>4</v>
      </c>
      <c r="AC47" t="s">
        <v>120</v>
      </c>
      <c r="AE47" t="s">
        <v>175</v>
      </c>
      <c r="AG47" t="s">
        <v>175</v>
      </c>
      <c r="AI47" t="s">
        <v>175</v>
      </c>
      <c r="AO47" t="s">
        <v>127</v>
      </c>
      <c r="AP47" t="s">
        <v>126</v>
      </c>
      <c r="AQ47" t="s">
        <v>119</v>
      </c>
      <c r="AR47" t="s">
        <v>120</v>
      </c>
      <c r="AS47" t="s">
        <v>175</v>
      </c>
      <c r="AT47" t="s">
        <v>175</v>
      </c>
      <c r="AU47" t="s">
        <v>175</v>
      </c>
    </row>
    <row r="48" spans="2:47" x14ac:dyDescent="0.3">
      <c r="B48" s="5">
        <v>45702</v>
      </c>
      <c r="C48" s="5">
        <v>45708</v>
      </c>
      <c r="D48" t="s">
        <v>60</v>
      </c>
      <c r="E48" t="s">
        <v>227</v>
      </c>
      <c r="F48" s="6">
        <v>66000</v>
      </c>
      <c r="G48" s="6">
        <v>40000</v>
      </c>
      <c r="P48" t="e">
        <f t="shared" ca="1" si="0"/>
        <v>#NAME?</v>
      </c>
      <c r="Q48" t="e">
        <f t="shared" si="1"/>
        <v>#VALUE!</v>
      </c>
      <c r="R48" s="9"/>
      <c r="S48" s="9"/>
      <c r="V48">
        <v>12</v>
      </c>
      <c r="W48" t="s">
        <v>119</v>
      </c>
      <c r="X48">
        <v>20</v>
      </c>
      <c r="Y48" t="s">
        <v>120</v>
      </c>
      <c r="Z48">
        <v>2</v>
      </c>
      <c r="AA48" t="s">
        <v>123</v>
      </c>
      <c r="AB48">
        <v>2</v>
      </c>
      <c r="AC48" t="s">
        <v>122</v>
      </c>
      <c r="AE48" t="s">
        <v>175</v>
      </c>
      <c r="AG48" t="s">
        <v>175</v>
      </c>
      <c r="AI48" t="s">
        <v>175</v>
      </c>
      <c r="AO48" t="s">
        <v>119</v>
      </c>
      <c r="AP48" t="s">
        <v>120</v>
      </c>
      <c r="AQ48" t="s">
        <v>123</v>
      </c>
      <c r="AR48" t="s">
        <v>122</v>
      </c>
      <c r="AS48" t="s">
        <v>175</v>
      </c>
      <c r="AT48" t="s">
        <v>175</v>
      </c>
      <c r="AU48" t="s">
        <v>175</v>
      </c>
    </row>
    <row r="49" spans="2:47" x14ac:dyDescent="0.3">
      <c r="B49" s="5">
        <v>45705</v>
      </c>
      <c r="C49" s="5">
        <v>45706</v>
      </c>
      <c r="D49" t="s">
        <v>61</v>
      </c>
      <c r="E49" t="s">
        <v>62</v>
      </c>
      <c r="F49" s="6">
        <v>15000</v>
      </c>
      <c r="P49" t="e">
        <f t="shared" ca="1" si="0"/>
        <v>#NAME?</v>
      </c>
      <c r="Q49" t="e">
        <f t="shared" si="1"/>
        <v>#VALUE!</v>
      </c>
      <c r="R49" s="9"/>
      <c r="S49" s="9"/>
      <c r="V49">
        <v>1</v>
      </c>
      <c r="W49" t="s">
        <v>127</v>
      </c>
      <c r="Y49" t="s">
        <v>175</v>
      </c>
      <c r="AA49" t="s">
        <v>175</v>
      </c>
      <c r="AC49" t="s">
        <v>175</v>
      </c>
      <c r="AE49" t="s">
        <v>175</v>
      </c>
      <c r="AG49" t="s">
        <v>175</v>
      </c>
      <c r="AI49" t="s">
        <v>175</v>
      </c>
      <c r="AO49" t="s">
        <v>127</v>
      </c>
      <c r="AP49" t="s">
        <v>175</v>
      </c>
      <c r="AQ49" t="s">
        <v>175</v>
      </c>
      <c r="AR49" t="s">
        <v>175</v>
      </c>
      <c r="AS49" t="s">
        <v>175</v>
      </c>
      <c r="AT49" t="s">
        <v>175</v>
      </c>
      <c r="AU49" t="s">
        <v>175</v>
      </c>
    </row>
    <row r="50" spans="2:47" x14ac:dyDescent="0.3">
      <c r="B50" s="5">
        <v>45708</v>
      </c>
      <c r="C50" s="5">
        <v>45710</v>
      </c>
      <c r="D50" t="s">
        <v>63</v>
      </c>
      <c r="E50" t="s">
        <v>64</v>
      </c>
      <c r="F50" s="6">
        <v>4500</v>
      </c>
      <c r="G50" s="6">
        <v>4500</v>
      </c>
      <c r="P50" t="e">
        <f t="shared" ca="1" si="0"/>
        <v>#NAME?</v>
      </c>
      <c r="Q50" t="e">
        <f t="shared" si="1"/>
        <v>#VALUE!</v>
      </c>
      <c r="R50" s="9"/>
      <c r="S50" s="9"/>
      <c r="V50">
        <v>3</v>
      </c>
      <c r="W50" t="s">
        <v>123</v>
      </c>
      <c r="Y50" t="s">
        <v>175</v>
      </c>
      <c r="AA50" t="s">
        <v>175</v>
      </c>
      <c r="AC50" t="s">
        <v>175</v>
      </c>
      <c r="AE50" t="s">
        <v>175</v>
      </c>
      <c r="AG50" t="s">
        <v>175</v>
      </c>
      <c r="AI50" t="s">
        <v>175</v>
      </c>
      <c r="AO50" t="s">
        <v>123</v>
      </c>
      <c r="AP50" t="s">
        <v>175</v>
      </c>
      <c r="AQ50" t="s">
        <v>175</v>
      </c>
      <c r="AR50" t="s">
        <v>175</v>
      </c>
      <c r="AS50" t="s">
        <v>175</v>
      </c>
      <c r="AT50" t="s">
        <v>175</v>
      </c>
      <c r="AU50" t="s">
        <v>175</v>
      </c>
    </row>
    <row r="51" spans="2:47" x14ac:dyDescent="0.3">
      <c r="B51" s="5">
        <v>45709</v>
      </c>
      <c r="C51" s="5">
        <v>45710</v>
      </c>
      <c r="D51" t="s">
        <v>65</v>
      </c>
      <c r="E51" t="s">
        <v>66</v>
      </c>
      <c r="F51" s="6">
        <v>40000</v>
      </c>
      <c r="G51" s="6">
        <v>40000</v>
      </c>
      <c r="P51" t="e">
        <f t="shared" ca="1" si="0"/>
        <v>#NAME?</v>
      </c>
      <c r="Q51" t="e">
        <f t="shared" si="1"/>
        <v>#VALUE!</v>
      </c>
      <c r="R51" s="9"/>
      <c r="S51" s="9"/>
      <c r="V51">
        <v>80</v>
      </c>
      <c r="W51" t="s">
        <v>120</v>
      </c>
      <c r="Y51" t="s">
        <v>175</v>
      </c>
      <c r="AA51" t="s">
        <v>175</v>
      </c>
      <c r="AC51" t="s">
        <v>175</v>
      </c>
      <c r="AE51" t="s">
        <v>175</v>
      </c>
      <c r="AG51" t="s">
        <v>175</v>
      </c>
      <c r="AI51" t="s">
        <v>175</v>
      </c>
      <c r="AO51" t="s">
        <v>120</v>
      </c>
      <c r="AP51" t="s">
        <v>175</v>
      </c>
      <c r="AQ51" t="s">
        <v>175</v>
      </c>
      <c r="AR51" t="s">
        <v>175</v>
      </c>
      <c r="AS51" t="s">
        <v>175</v>
      </c>
      <c r="AT51" t="s">
        <v>175</v>
      </c>
      <c r="AU51" t="s">
        <v>175</v>
      </c>
    </row>
    <row r="52" spans="2:47" x14ac:dyDescent="0.3">
      <c r="B52" s="5">
        <v>45709</v>
      </c>
      <c r="C52" s="5">
        <v>45712</v>
      </c>
      <c r="D52" t="s">
        <v>67</v>
      </c>
      <c r="E52" t="s">
        <v>189</v>
      </c>
      <c r="F52" s="6">
        <v>100000</v>
      </c>
      <c r="G52" s="6">
        <v>100000</v>
      </c>
      <c r="P52" t="e">
        <f t="shared" ca="1" si="0"/>
        <v>#NAME?</v>
      </c>
      <c r="Q52" t="e">
        <f t="shared" si="1"/>
        <v>#VALUE!</v>
      </c>
      <c r="R52" s="9"/>
      <c r="S52" s="9"/>
      <c r="V52">
        <v>2</v>
      </c>
      <c r="W52" t="s">
        <v>127</v>
      </c>
      <c r="X52">
        <v>10</v>
      </c>
      <c r="Y52" t="s">
        <v>140</v>
      </c>
      <c r="Z52">
        <v>24</v>
      </c>
      <c r="AA52" t="s">
        <v>120</v>
      </c>
      <c r="AB52">
        <v>3</v>
      </c>
      <c r="AC52" t="s">
        <v>123</v>
      </c>
      <c r="AE52" t="s">
        <v>175</v>
      </c>
      <c r="AG52" t="s">
        <v>176</v>
      </c>
      <c r="AI52" t="s">
        <v>175</v>
      </c>
      <c r="AO52" t="s">
        <v>127</v>
      </c>
      <c r="AP52" t="s">
        <v>140</v>
      </c>
      <c r="AQ52" t="s">
        <v>120</v>
      </c>
      <c r="AR52" t="s">
        <v>123</v>
      </c>
      <c r="AS52" t="s">
        <v>175</v>
      </c>
      <c r="AT52" t="s">
        <v>176</v>
      </c>
      <c r="AU52" t="s">
        <v>175</v>
      </c>
    </row>
    <row r="53" spans="2:47" x14ac:dyDescent="0.3">
      <c r="B53" s="5">
        <v>45709</v>
      </c>
      <c r="C53" s="5">
        <v>45710</v>
      </c>
      <c r="D53" t="s">
        <v>39</v>
      </c>
      <c r="E53" t="s">
        <v>190</v>
      </c>
      <c r="F53" s="6">
        <v>19000</v>
      </c>
      <c r="G53" s="6">
        <v>17000</v>
      </c>
      <c r="P53" t="e">
        <f t="shared" ca="1" si="0"/>
        <v>#NAME?</v>
      </c>
      <c r="Q53" t="e">
        <f t="shared" si="1"/>
        <v>#VALUE!</v>
      </c>
      <c r="R53" s="9"/>
      <c r="S53" s="9"/>
      <c r="V53">
        <v>12</v>
      </c>
      <c r="W53" t="s">
        <v>119</v>
      </c>
      <c r="X53">
        <v>11</v>
      </c>
      <c r="Y53" t="s">
        <v>120</v>
      </c>
      <c r="Z53">
        <v>5</v>
      </c>
      <c r="AA53" t="s">
        <v>121</v>
      </c>
      <c r="AC53" t="s">
        <v>175</v>
      </c>
      <c r="AE53" t="s">
        <v>175</v>
      </c>
      <c r="AG53" t="s">
        <v>175</v>
      </c>
      <c r="AI53" t="s">
        <v>175</v>
      </c>
      <c r="AO53" t="s">
        <v>119</v>
      </c>
      <c r="AP53" t="s">
        <v>120</v>
      </c>
      <c r="AQ53" t="s">
        <v>121</v>
      </c>
      <c r="AR53" t="s">
        <v>175</v>
      </c>
      <c r="AS53" t="s">
        <v>175</v>
      </c>
      <c r="AT53" t="s">
        <v>175</v>
      </c>
      <c r="AU53" t="s">
        <v>175</v>
      </c>
    </row>
    <row r="54" spans="2:47" x14ac:dyDescent="0.3">
      <c r="B54" s="5">
        <v>45709</v>
      </c>
      <c r="C54" s="5">
        <v>45710</v>
      </c>
      <c r="D54" t="s">
        <v>68</v>
      </c>
      <c r="E54" t="s">
        <v>191</v>
      </c>
      <c r="F54" s="6">
        <v>45000</v>
      </c>
      <c r="G54" s="6">
        <v>45000</v>
      </c>
      <c r="P54" t="e">
        <f t="shared" ca="1" si="0"/>
        <v>#NAME?</v>
      </c>
      <c r="Q54" t="e">
        <f t="shared" si="1"/>
        <v>#VALUE!</v>
      </c>
      <c r="R54" s="9"/>
      <c r="S54" s="9"/>
      <c r="V54">
        <v>1</v>
      </c>
      <c r="W54" t="s">
        <v>40</v>
      </c>
      <c r="X54">
        <v>9</v>
      </c>
      <c r="Y54" t="s">
        <v>119</v>
      </c>
      <c r="AA54" t="s">
        <v>175</v>
      </c>
      <c r="AC54" t="s">
        <v>175</v>
      </c>
      <c r="AE54" t="s">
        <v>175</v>
      </c>
      <c r="AG54" t="s">
        <v>175</v>
      </c>
      <c r="AI54" t="s">
        <v>175</v>
      </c>
      <c r="AO54" t="s">
        <v>40</v>
      </c>
      <c r="AP54" t="s">
        <v>119</v>
      </c>
      <c r="AQ54" t="s">
        <v>175</v>
      </c>
      <c r="AR54" t="s">
        <v>175</v>
      </c>
      <c r="AS54" t="s">
        <v>175</v>
      </c>
      <c r="AT54" t="s">
        <v>175</v>
      </c>
      <c r="AU54" t="s">
        <v>175</v>
      </c>
    </row>
    <row r="55" spans="2:47" x14ac:dyDescent="0.3">
      <c r="B55" s="5">
        <v>45709</v>
      </c>
      <c r="C55" s="5">
        <v>45710</v>
      </c>
      <c r="D55" t="s">
        <v>69</v>
      </c>
      <c r="E55" t="s">
        <v>228</v>
      </c>
      <c r="F55" s="6">
        <v>22000</v>
      </c>
      <c r="G55" s="6">
        <v>20000</v>
      </c>
      <c r="P55" t="e">
        <f t="shared" ca="1" si="0"/>
        <v>#NAME?</v>
      </c>
      <c r="Q55" t="e">
        <f t="shared" si="1"/>
        <v>#VALUE!</v>
      </c>
      <c r="R55" s="9"/>
      <c r="S55" s="9"/>
      <c r="V55">
        <v>1</v>
      </c>
      <c r="W55" t="s">
        <v>126</v>
      </c>
      <c r="X55">
        <v>3</v>
      </c>
      <c r="Y55" t="s">
        <v>119</v>
      </c>
      <c r="Z55">
        <v>3</v>
      </c>
      <c r="AA55" t="s">
        <v>130</v>
      </c>
      <c r="AC55" t="s">
        <v>175</v>
      </c>
      <c r="AE55" t="s">
        <v>175</v>
      </c>
      <c r="AG55" t="s">
        <v>175</v>
      </c>
      <c r="AI55" t="s">
        <v>175</v>
      </c>
      <c r="AO55" t="s">
        <v>126</v>
      </c>
      <c r="AP55" t="s">
        <v>119</v>
      </c>
      <c r="AQ55" t="s">
        <v>130</v>
      </c>
      <c r="AR55" t="s">
        <v>175</v>
      </c>
      <c r="AS55" t="s">
        <v>175</v>
      </c>
      <c r="AT55" t="s">
        <v>175</v>
      </c>
      <c r="AU55" t="s">
        <v>175</v>
      </c>
    </row>
    <row r="56" spans="2:47" x14ac:dyDescent="0.3">
      <c r="B56" s="5">
        <v>45711</v>
      </c>
      <c r="C56" s="5">
        <v>45711</v>
      </c>
      <c r="D56" t="s">
        <v>70</v>
      </c>
      <c r="E56" t="s">
        <v>71</v>
      </c>
      <c r="F56" s="6">
        <v>3000</v>
      </c>
      <c r="G56" s="6">
        <v>3000</v>
      </c>
      <c r="P56" t="e">
        <f t="shared" ca="1" si="0"/>
        <v>#NAME?</v>
      </c>
      <c r="Q56" t="e">
        <f t="shared" si="1"/>
        <v>#VALUE!</v>
      </c>
      <c r="R56" s="9"/>
      <c r="S56" s="9"/>
      <c r="V56">
        <v>2</v>
      </c>
      <c r="W56" t="s">
        <v>122</v>
      </c>
      <c r="Y56" t="s">
        <v>175</v>
      </c>
      <c r="AA56" t="s">
        <v>175</v>
      </c>
      <c r="AC56" t="s">
        <v>175</v>
      </c>
      <c r="AE56" t="s">
        <v>175</v>
      </c>
      <c r="AG56" t="s">
        <v>175</v>
      </c>
      <c r="AI56" t="s">
        <v>175</v>
      </c>
      <c r="AO56" t="s">
        <v>122</v>
      </c>
      <c r="AP56" t="s">
        <v>175</v>
      </c>
      <c r="AQ56" t="s">
        <v>175</v>
      </c>
      <c r="AR56" t="s">
        <v>175</v>
      </c>
      <c r="AS56" t="s">
        <v>175</v>
      </c>
      <c r="AT56" t="s">
        <v>175</v>
      </c>
      <c r="AU56" t="s">
        <v>175</v>
      </c>
    </row>
    <row r="57" spans="2:47" x14ac:dyDescent="0.3">
      <c r="B57" s="5">
        <v>45711</v>
      </c>
      <c r="C57" s="5">
        <v>45711</v>
      </c>
      <c r="D57" t="s">
        <v>72</v>
      </c>
      <c r="E57" t="s">
        <v>229</v>
      </c>
      <c r="F57" s="6">
        <v>15000</v>
      </c>
      <c r="G57" s="6">
        <v>15000</v>
      </c>
      <c r="P57" t="e">
        <f t="shared" ca="1" si="0"/>
        <v>#NAME?</v>
      </c>
      <c r="Q57" t="e">
        <f t="shared" si="1"/>
        <v>#VALUE!</v>
      </c>
      <c r="R57" s="9"/>
      <c r="S57" s="9"/>
      <c r="V57">
        <v>1</v>
      </c>
      <c r="W57" t="s">
        <v>127</v>
      </c>
      <c r="X57">
        <v>7</v>
      </c>
      <c r="Y57" t="s">
        <v>119</v>
      </c>
      <c r="Z57">
        <v>4</v>
      </c>
      <c r="AA57" t="s">
        <v>130</v>
      </c>
      <c r="AC57" t="s">
        <v>175</v>
      </c>
      <c r="AE57" t="s">
        <v>175</v>
      </c>
      <c r="AG57" t="s">
        <v>175</v>
      </c>
      <c r="AI57" t="s">
        <v>175</v>
      </c>
      <c r="AO57" t="s">
        <v>127</v>
      </c>
      <c r="AP57" t="s">
        <v>119</v>
      </c>
      <c r="AQ57" t="s">
        <v>130</v>
      </c>
      <c r="AR57" t="s">
        <v>175</v>
      </c>
      <c r="AS57" t="s">
        <v>175</v>
      </c>
      <c r="AT57" t="s">
        <v>175</v>
      </c>
      <c r="AU57" t="s">
        <v>175</v>
      </c>
    </row>
    <row r="58" spans="2:47" x14ac:dyDescent="0.3">
      <c r="B58" s="5">
        <v>45711</v>
      </c>
      <c r="C58" s="5">
        <v>45711</v>
      </c>
      <c r="D58" t="s">
        <v>73</v>
      </c>
      <c r="E58" t="s">
        <v>230</v>
      </c>
      <c r="F58" s="6">
        <v>6000</v>
      </c>
      <c r="G58" s="6">
        <v>6000</v>
      </c>
      <c r="P58" t="e">
        <f t="shared" ca="1" si="0"/>
        <v>#NAME?</v>
      </c>
      <c r="Q58" t="e">
        <f t="shared" si="1"/>
        <v>#VALUE!</v>
      </c>
      <c r="R58" s="9"/>
      <c r="S58" s="9"/>
      <c r="V58">
        <v>3</v>
      </c>
      <c r="W58" t="s">
        <v>119</v>
      </c>
      <c r="Y58" t="s">
        <v>175</v>
      </c>
      <c r="AA58" t="s">
        <v>175</v>
      </c>
      <c r="AC58" t="s">
        <v>175</v>
      </c>
      <c r="AE58" t="s">
        <v>175</v>
      </c>
      <c r="AG58" t="s">
        <v>175</v>
      </c>
      <c r="AI58" t="s">
        <v>175</v>
      </c>
      <c r="AO58" t="s">
        <v>119</v>
      </c>
      <c r="AP58" t="s">
        <v>175</v>
      </c>
      <c r="AQ58" t="s">
        <v>175</v>
      </c>
      <c r="AR58" t="s">
        <v>175</v>
      </c>
      <c r="AS58" t="s">
        <v>175</v>
      </c>
      <c r="AT58" t="s">
        <v>175</v>
      </c>
      <c r="AU58" t="s">
        <v>175</v>
      </c>
    </row>
    <row r="59" spans="2:47" x14ac:dyDescent="0.3">
      <c r="B59" s="5">
        <v>45715</v>
      </c>
      <c r="C59" s="5">
        <v>45715</v>
      </c>
      <c r="D59" t="s">
        <v>74</v>
      </c>
      <c r="E59" t="s">
        <v>231</v>
      </c>
      <c r="F59" s="6">
        <v>26600</v>
      </c>
      <c r="G59" s="6">
        <v>26600</v>
      </c>
      <c r="P59" t="e">
        <f t="shared" ca="1" si="0"/>
        <v>#NAME?</v>
      </c>
      <c r="Q59" t="e">
        <f t="shared" si="1"/>
        <v>#VALUE!</v>
      </c>
      <c r="R59" s="9"/>
      <c r="S59" s="9"/>
      <c r="V59">
        <v>1</v>
      </c>
      <c r="W59" t="s">
        <v>126</v>
      </c>
      <c r="X59">
        <v>2</v>
      </c>
      <c r="Y59" t="s">
        <v>140</v>
      </c>
      <c r="Z59">
        <v>4</v>
      </c>
      <c r="AA59" t="s">
        <v>130</v>
      </c>
      <c r="AC59" t="s">
        <v>175</v>
      </c>
      <c r="AE59" t="s">
        <v>175</v>
      </c>
      <c r="AG59" t="s">
        <v>175</v>
      </c>
      <c r="AI59" t="s">
        <v>175</v>
      </c>
      <c r="AO59" t="s">
        <v>126</v>
      </c>
      <c r="AP59" t="s">
        <v>140</v>
      </c>
      <c r="AQ59" t="s">
        <v>130</v>
      </c>
      <c r="AR59" t="s">
        <v>175</v>
      </c>
      <c r="AS59" t="s">
        <v>175</v>
      </c>
      <c r="AT59" t="s">
        <v>175</v>
      </c>
      <c r="AU59" t="s">
        <v>175</v>
      </c>
    </row>
    <row r="60" spans="2:47" x14ac:dyDescent="0.3">
      <c r="B60" s="5">
        <v>45715</v>
      </c>
      <c r="C60" s="5">
        <v>45715</v>
      </c>
      <c r="D60" t="s">
        <v>75</v>
      </c>
      <c r="E60" t="s">
        <v>232</v>
      </c>
      <c r="F60" s="6">
        <v>17000</v>
      </c>
      <c r="G60" s="6">
        <v>17000</v>
      </c>
      <c r="P60" t="e">
        <f t="shared" ca="1" si="0"/>
        <v>#NAME?</v>
      </c>
      <c r="Q60" t="e">
        <f t="shared" si="1"/>
        <v>#VALUE!</v>
      </c>
      <c r="R60" s="9"/>
      <c r="S60" s="9"/>
      <c r="V60">
        <v>1</v>
      </c>
      <c r="W60" t="s">
        <v>126</v>
      </c>
      <c r="X60">
        <v>3</v>
      </c>
      <c r="Y60" t="s">
        <v>130</v>
      </c>
      <c r="Z60">
        <v>3</v>
      </c>
      <c r="AA60" t="s">
        <v>119</v>
      </c>
      <c r="AC60" t="s">
        <v>175</v>
      </c>
      <c r="AE60" t="s">
        <v>175</v>
      </c>
      <c r="AG60" t="s">
        <v>175</v>
      </c>
      <c r="AI60" t="s">
        <v>175</v>
      </c>
      <c r="AO60" t="s">
        <v>126</v>
      </c>
      <c r="AP60" t="s">
        <v>130</v>
      </c>
      <c r="AQ60" t="s">
        <v>119</v>
      </c>
      <c r="AR60" t="s">
        <v>175</v>
      </c>
      <c r="AS60" t="s">
        <v>175</v>
      </c>
      <c r="AT60" t="s">
        <v>175</v>
      </c>
      <c r="AU60" t="s">
        <v>175</v>
      </c>
    </row>
    <row r="61" spans="2:47" x14ac:dyDescent="0.3">
      <c r="B61" s="5">
        <v>45715</v>
      </c>
      <c r="C61" s="5">
        <v>45736</v>
      </c>
      <c r="D61" t="s">
        <v>76</v>
      </c>
      <c r="E61" t="s">
        <v>233</v>
      </c>
      <c r="F61" s="6">
        <v>100000</v>
      </c>
      <c r="G61" s="6">
        <v>100000</v>
      </c>
      <c r="P61" t="e">
        <f t="shared" ca="1" si="0"/>
        <v>#NAME?</v>
      </c>
      <c r="Q61" t="e">
        <f t="shared" si="1"/>
        <v>#VALUE!</v>
      </c>
      <c r="R61" s="9"/>
      <c r="S61" s="9"/>
      <c r="V61">
        <v>5</v>
      </c>
      <c r="W61" t="s">
        <v>127</v>
      </c>
      <c r="X61">
        <v>1</v>
      </c>
      <c r="Y61" t="s">
        <v>126</v>
      </c>
      <c r="Z61">
        <v>25</v>
      </c>
      <c r="AA61" t="s">
        <v>119</v>
      </c>
      <c r="AB61">
        <v>10</v>
      </c>
      <c r="AC61" t="s">
        <v>266</v>
      </c>
      <c r="AE61" t="s">
        <v>130</v>
      </c>
      <c r="AG61" t="s">
        <v>175</v>
      </c>
      <c r="AI61" t="s">
        <v>175</v>
      </c>
      <c r="AO61" t="s">
        <v>127</v>
      </c>
      <c r="AP61" t="s">
        <v>126</v>
      </c>
      <c r="AQ61" t="s">
        <v>119</v>
      </c>
      <c r="AR61" t="s">
        <v>266</v>
      </c>
      <c r="AS61" t="s">
        <v>130</v>
      </c>
      <c r="AT61" t="s">
        <v>175</v>
      </c>
      <c r="AU61" t="s">
        <v>175</v>
      </c>
    </row>
    <row r="62" spans="2:47" x14ac:dyDescent="0.3">
      <c r="B62" s="5">
        <v>45715</v>
      </c>
      <c r="C62" s="5">
        <v>45720</v>
      </c>
      <c r="D62" t="s">
        <v>77</v>
      </c>
      <c r="E62" t="s">
        <v>234</v>
      </c>
      <c r="F62" s="6">
        <v>35000</v>
      </c>
      <c r="G62" s="6">
        <v>33000</v>
      </c>
      <c r="P62" t="e">
        <f t="shared" ca="1" si="0"/>
        <v>#NAME?</v>
      </c>
      <c r="Q62" t="e">
        <f t="shared" si="1"/>
        <v>#VALUE!</v>
      </c>
      <c r="R62" s="9"/>
      <c r="S62" s="9"/>
      <c r="V62">
        <v>1</v>
      </c>
      <c r="W62" t="s">
        <v>127</v>
      </c>
      <c r="X62">
        <v>1</v>
      </c>
      <c r="Y62" t="s">
        <v>126</v>
      </c>
      <c r="Z62">
        <v>5</v>
      </c>
      <c r="AA62" t="s">
        <v>119</v>
      </c>
      <c r="AC62" t="s">
        <v>175</v>
      </c>
      <c r="AE62" t="s">
        <v>175</v>
      </c>
      <c r="AG62" t="s">
        <v>175</v>
      </c>
      <c r="AI62" t="s">
        <v>175</v>
      </c>
      <c r="AO62" t="s">
        <v>127</v>
      </c>
      <c r="AP62" t="s">
        <v>126</v>
      </c>
      <c r="AQ62" t="s">
        <v>119</v>
      </c>
      <c r="AR62" t="s">
        <v>175</v>
      </c>
      <c r="AS62" t="s">
        <v>175</v>
      </c>
      <c r="AT62" t="s">
        <v>175</v>
      </c>
      <c r="AU62" t="s">
        <v>175</v>
      </c>
    </row>
    <row r="63" spans="2:47" x14ac:dyDescent="0.3">
      <c r="B63" s="5">
        <v>45718</v>
      </c>
      <c r="C63" s="5">
        <v>45718</v>
      </c>
      <c r="D63" t="s">
        <v>78</v>
      </c>
      <c r="E63" t="s">
        <v>235</v>
      </c>
      <c r="F63" s="6">
        <v>66000</v>
      </c>
      <c r="G63" s="6">
        <v>66000</v>
      </c>
      <c r="P63" t="e">
        <f t="shared" ca="1" si="0"/>
        <v>#NAME?</v>
      </c>
      <c r="Q63" t="e">
        <f t="shared" si="1"/>
        <v>#VALUE!</v>
      </c>
      <c r="R63" s="9"/>
      <c r="S63" s="9"/>
      <c r="V63">
        <v>2</v>
      </c>
      <c r="W63" t="s">
        <v>127</v>
      </c>
      <c r="X63">
        <v>12</v>
      </c>
      <c r="Y63" t="s">
        <v>119</v>
      </c>
      <c r="Z63">
        <v>4</v>
      </c>
      <c r="AA63" t="s">
        <v>130</v>
      </c>
      <c r="AC63" t="s">
        <v>175</v>
      </c>
      <c r="AE63" t="s">
        <v>175</v>
      </c>
      <c r="AG63" t="s">
        <v>175</v>
      </c>
      <c r="AI63" t="s">
        <v>175</v>
      </c>
      <c r="AO63" t="s">
        <v>127</v>
      </c>
      <c r="AP63" t="s">
        <v>119</v>
      </c>
      <c r="AQ63" t="s">
        <v>130</v>
      </c>
      <c r="AR63" t="s">
        <v>175</v>
      </c>
      <c r="AS63" t="s">
        <v>175</v>
      </c>
      <c r="AT63" t="s">
        <v>175</v>
      </c>
      <c r="AU63" t="s">
        <v>175</v>
      </c>
    </row>
    <row r="64" spans="2:47" x14ac:dyDescent="0.3">
      <c r="B64" s="5">
        <v>45691</v>
      </c>
      <c r="C64" s="5">
        <v>45719</v>
      </c>
      <c r="D64" t="s">
        <v>79</v>
      </c>
      <c r="E64" t="s">
        <v>236</v>
      </c>
      <c r="F64" s="6">
        <v>25000</v>
      </c>
      <c r="G64" s="6">
        <v>25000</v>
      </c>
      <c r="P64" t="e">
        <f t="shared" ca="1" si="0"/>
        <v>#NAME?</v>
      </c>
      <c r="Q64" t="e">
        <f t="shared" si="1"/>
        <v>#VALUE!</v>
      </c>
      <c r="R64" s="9"/>
      <c r="S64" s="9"/>
      <c r="V64">
        <v>1</v>
      </c>
      <c r="W64" t="s">
        <v>126</v>
      </c>
      <c r="X64">
        <v>5</v>
      </c>
      <c r="Y64" t="s">
        <v>119</v>
      </c>
      <c r="Z64">
        <v>2</v>
      </c>
      <c r="AA64" t="s">
        <v>130</v>
      </c>
      <c r="AC64" t="s">
        <v>175</v>
      </c>
      <c r="AE64" t="s">
        <v>175</v>
      </c>
      <c r="AG64" t="s">
        <v>175</v>
      </c>
      <c r="AI64" t="s">
        <v>175</v>
      </c>
      <c r="AO64" t="s">
        <v>126</v>
      </c>
      <c r="AP64" t="s">
        <v>119</v>
      </c>
      <c r="AQ64" t="s">
        <v>130</v>
      </c>
      <c r="AR64" t="s">
        <v>175</v>
      </c>
      <c r="AS64" t="s">
        <v>175</v>
      </c>
      <c r="AT64" t="s">
        <v>175</v>
      </c>
      <c r="AU64" t="s">
        <v>175</v>
      </c>
    </row>
    <row r="65" spans="2:47" x14ac:dyDescent="0.3">
      <c r="B65" s="5">
        <v>45719</v>
      </c>
      <c r="C65" s="5">
        <v>45719</v>
      </c>
      <c r="D65">
        <v>0</v>
      </c>
      <c r="E65" t="s">
        <v>196</v>
      </c>
      <c r="F65" s="6">
        <v>5000</v>
      </c>
      <c r="G65" s="6">
        <v>5000</v>
      </c>
      <c r="P65" t="e">
        <f t="shared" ca="1" si="0"/>
        <v>#NAME?</v>
      </c>
      <c r="Q65" t="e">
        <f t="shared" si="1"/>
        <v>#VALUE!</v>
      </c>
      <c r="R65" s="9"/>
      <c r="S65" s="9"/>
      <c r="V65">
        <v>5</v>
      </c>
      <c r="W65" t="s">
        <v>119</v>
      </c>
      <c r="Y65" t="s">
        <v>175</v>
      </c>
      <c r="AA65" t="s">
        <v>175</v>
      </c>
      <c r="AC65" t="s">
        <v>175</v>
      </c>
      <c r="AE65" t="s">
        <v>175</v>
      </c>
      <c r="AG65" t="s">
        <v>175</v>
      </c>
      <c r="AI65" t="s">
        <v>175</v>
      </c>
      <c r="AO65" t="s">
        <v>119</v>
      </c>
      <c r="AP65" t="s">
        <v>175</v>
      </c>
      <c r="AQ65" t="s">
        <v>175</v>
      </c>
      <c r="AR65" t="s">
        <v>175</v>
      </c>
      <c r="AS65" t="s">
        <v>175</v>
      </c>
      <c r="AT65" t="s">
        <v>175</v>
      </c>
      <c r="AU65" t="s">
        <v>175</v>
      </c>
    </row>
    <row r="66" spans="2:47" x14ac:dyDescent="0.3">
      <c r="B66" s="5">
        <v>45725</v>
      </c>
      <c r="C66" s="5">
        <v>45725</v>
      </c>
      <c r="D66" t="s">
        <v>80</v>
      </c>
      <c r="E66" t="s">
        <v>237</v>
      </c>
      <c r="F66" s="6">
        <v>5000</v>
      </c>
      <c r="G66" s="6">
        <v>5000</v>
      </c>
      <c r="P66" t="e">
        <f t="shared" ca="1" si="0"/>
        <v>#NAME?</v>
      </c>
      <c r="Q66" t="e">
        <f t="shared" si="1"/>
        <v>#VALUE!</v>
      </c>
      <c r="R66" s="9"/>
      <c r="S66" s="9"/>
      <c r="V66">
        <v>2</v>
      </c>
      <c r="W66" t="s">
        <v>119</v>
      </c>
      <c r="Y66" t="s">
        <v>175</v>
      </c>
      <c r="AA66" t="s">
        <v>175</v>
      </c>
      <c r="AC66" t="s">
        <v>175</v>
      </c>
      <c r="AE66" t="s">
        <v>175</v>
      </c>
      <c r="AG66" t="s">
        <v>175</v>
      </c>
      <c r="AI66" t="s">
        <v>175</v>
      </c>
      <c r="AO66" t="s">
        <v>119</v>
      </c>
      <c r="AP66" t="s">
        <v>175</v>
      </c>
      <c r="AQ66" t="s">
        <v>175</v>
      </c>
      <c r="AR66" t="s">
        <v>175</v>
      </c>
      <c r="AS66" t="s">
        <v>175</v>
      </c>
      <c r="AT66" t="s">
        <v>175</v>
      </c>
      <c r="AU66" t="s">
        <v>175</v>
      </c>
    </row>
    <row r="67" spans="2:47" x14ac:dyDescent="0.3">
      <c r="B67" s="5">
        <v>45700</v>
      </c>
      <c r="C67" s="5">
        <v>45728</v>
      </c>
      <c r="D67" t="s">
        <v>82</v>
      </c>
      <c r="E67" t="s">
        <v>225</v>
      </c>
      <c r="F67" s="6">
        <v>10000</v>
      </c>
      <c r="G67" s="6">
        <v>10000</v>
      </c>
      <c r="P67" t="e">
        <f t="shared" ref="P67:P105" ca="1" si="2">ExtractTextOnly(E67)</f>
        <v>#NAME?</v>
      </c>
      <c r="Q67" t="e">
        <f t="shared" ref="Q67:Q105" si="3">ExtractTextAndBigNum(E67)</f>
        <v>#VALUE!</v>
      </c>
      <c r="R67" s="9"/>
      <c r="S67" s="9"/>
      <c r="V67">
        <v>1</v>
      </c>
      <c r="W67" t="s">
        <v>126</v>
      </c>
      <c r="X67">
        <v>2</v>
      </c>
      <c r="Y67" t="s">
        <v>119</v>
      </c>
      <c r="AA67" t="s">
        <v>175</v>
      </c>
      <c r="AC67" t="s">
        <v>175</v>
      </c>
      <c r="AE67" t="s">
        <v>175</v>
      </c>
      <c r="AG67" t="s">
        <v>175</v>
      </c>
      <c r="AI67" t="s">
        <v>175</v>
      </c>
      <c r="AO67" t="s">
        <v>126</v>
      </c>
      <c r="AP67" t="s">
        <v>119</v>
      </c>
      <c r="AQ67" t="s">
        <v>175</v>
      </c>
      <c r="AR67" t="s">
        <v>175</v>
      </c>
      <c r="AS67" t="s">
        <v>175</v>
      </c>
      <c r="AT67" t="s">
        <v>175</v>
      </c>
      <c r="AU67" t="s">
        <v>175</v>
      </c>
    </row>
    <row r="68" spans="2:47" x14ac:dyDescent="0.3">
      <c r="B68" s="5">
        <v>45725</v>
      </c>
      <c r="C68" s="5">
        <v>45725</v>
      </c>
      <c r="D68" t="s">
        <v>83</v>
      </c>
      <c r="E68" t="s">
        <v>192</v>
      </c>
      <c r="F68" s="6">
        <v>37500</v>
      </c>
      <c r="G68" s="6">
        <v>37500</v>
      </c>
      <c r="P68" t="e">
        <f t="shared" ca="1" si="2"/>
        <v>#NAME?</v>
      </c>
      <c r="Q68" t="e">
        <f t="shared" si="3"/>
        <v>#VALUE!</v>
      </c>
      <c r="R68" s="9"/>
      <c r="S68" s="9"/>
      <c r="V68">
        <v>1</v>
      </c>
      <c r="W68" t="s">
        <v>127</v>
      </c>
      <c r="X68">
        <v>9</v>
      </c>
      <c r="Y68" t="s">
        <v>119</v>
      </c>
      <c r="AA68" t="s">
        <v>175</v>
      </c>
      <c r="AC68" t="s">
        <v>175</v>
      </c>
      <c r="AE68" t="s">
        <v>175</v>
      </c>
      <c r="AG68" t="s">
        <v>175</v>
      </c>
      <c r="AI68" t="s">
        <v>175</v>
      </c>
      <c r="AO68" t="s">
        <v>127</v>
      </c>
      <c r="AP68" t="s">
        <v>119</v>
      </c>
      <c r="AQ68" t="s">
        <v>175</v>
      </c>
      <c r="AR68" t="s">
        <v>175</v>
      </c>
      <c r="AS68" t="s">
        <v>175</v>
      </c>
      <c r="AT68" t="s">
        <v>175</v>
      </c>
      <c r="AU68" t="s">
        <v>175</v>
      </c>
    </row>
    <row r="69" spans="2:47" x14ac:dyDescent="0.3">
      <c r="B69" s="5">
        <v>45728</v>
      </c>
      <c r="C69" s="5">
        <v>45728</v>
      </c>
      <c r="D69" t="s">
        <v>84</v>
      </c>
      <c r="E69" t="s">
        <v>238</v>
      </c>
      <c r="F69" s="6">
        <v>38500</v>
      </c>
      <c r="G69" s="6">
        <v>38500</v>
      </c>
      <c r="P69" t="e">
        <f t="shared" ca="1" si="2"/>
        <v>#NAME?</v>
      </c>
      <c r="Q69" t="e">
        <f t="shared" si="3"/>
        <v>#VALUE!</v>
      </c>
      <c r="R69" s="9"/>
      <c r="S69" s="9"/>
      <c r="V69">
        <v>1</v>
      </c>
      <c r="W69" t="s">
        <v>127</v>
      </c>
      <c r="X69">
        <v>3</v>
      </c>
      <c r="Y69" t="s">
        <v>119</v>
      </c>
      <c r="Z69">
        <v>6</v>
      </c>
      <c r="AA69" t="s">
        <v>130</v>
      </c>
      <c r="AC69" t="s">
        <v>175</v>
      </c>
      <c r="AE69" t="s">
        <v>175</v>
      </c>
      <c r="AG69" t="s">
        <v>175</v>
      </c>
      <c r="AI69" t="s">
        <v>175</v>
      </c>
      <c r="AO69" t="s">
        <v>127</v>
      </c>
      <c r="AP69" t="s">
        <v>119</v>
      </c>
      <c r="AQ69" t="s">
        <v>130</v>
      </c>
      <c r="AR69" t="s">
        <v>175</v>
      </c>
      <c r="AS69" t="s">
        <v>175</v>
      </c>
      <c r="AT69" t="s">
        <v>175</v>
      </c>
      <c r="AU69" t="s">
        <v>175</v>
      </c>
    </row>
    <row r="70" spans="2:47" x14ac:dyDescent="0.3">
      <c r="B70" s="5">
        <v>45728</v>
      </c>
      <c r="C70" s="5">
        <v>45729</v>
      </c>
      <c r="D70" t="s">
        <v>85</v>
      </c>
      <c r="E70" t="s">
        <v>193</v>
      </c>
      <c r="F70" s="6">
        <v>75000</v>
      </c>
      <c r="G70" s="6">
        <v>75000</v>
      </c>
      <c r="P70" t="e">
        <f t="shared" ca="1" si="2"/>
        <v>#NAME?</v>
      </c>
      <c r="Q70" t="e">
        <f t="shared" si="3"/>
        <v>#VALUE!</v>
      </c>
      <c r="R70" s="9"/>
      <c r="S70" s="9"/>
      <c r="V70">
        <v>2</v>
      </c>
      <c r="W70" t="s">
        <v>129</v>
      </c>
      <c r="X70">
        <v>25</v>
      </c>
      <c r="Y70" t="s">
        <v>127</v>
      </c>
      <c r="AA70" t="s">
        <v>119</v>
      </c>
      <c r="AC70" t="s">
        <v>175</v>
      </c>
      <c r="AE70" t="s">
        <v>175</v>
      </c>
      <c r="AG70" t="s">
        <v>175</v>
      </c>
      <c r="AI70" t="s">
        <v>175</v>
      </c>
      <c r="AO70" t="s">
        <v>129</v>
      </c>
      <c r="AP70" t="s">
        <v>127</v>
      </c>
      <c r="AQ70" t="s">
        <v>119</v>
      </c>
      <c r="AR70" t="s">
        <v>175</v>
      </c>
      <c r="AS70" t="s">
        <v>175</v>
      </c>
      <c r="AT70" t="s">
        <v>175</v>
      </c>
      <c r="AU70" t="s">
        <v>175</v>
      </c>
    </row>
    <row r="71" spans="2:47" x14ac:dyDescent="0.3">
      <c r="B71" s="5">
        <v>45728</v>
      </c>
      <c r="C71" s="5">
        <v>45751</v>
      </c>
      <c r="D71" t="s">
        <v>86</v>
      </c>
      <c r="E71" t="s">
        <v>194</v>
      </c>
      <c r="F71" s="6">
        <v>0</v>
      </c>
      <c r="G71" s="6">
        <v>0</v>
      </c>
      <c r="P71" t="e">
        <f t="shared" ca="1" si="2"/>
        <v>#NAME?</v>
      </c>
      <c r="Q71" t="e">
        <f t="shared" si="3"/>
        <v>#VALUE!</v>
      </c>
      <c r="R71" s="9"/>
      <c r="S71" s="9"/>
      <c r="V71">
        <v>2</v>
      </c>
      <c r="W71" t="s">
        <v>126</v>
      </c>
      <c r="X71">
        <v>3</v>
      </c>
      <c r="Y71" t="s">
        <v>119</v>
      </c>
      <c r="Z71">
        <v>4</v>
      </c>
      <c r="AA71" t="s">
        <v>120</v>
      </c>
      <c r="AB71">
        <v>1</v>
      </c>
      <c r="AC71" t="s">
        <v>122</v>
      </c>
      <c r="AE71" t="s">
        <v>175</v>
      </c>
      <c r="AG71" t="s">
        <v>175</v>
      </c>
      <c r="AI71" t="s">
        <v>175</v>
      </c>
      <c r="AO71" t="s">
        <v>126</v>
      </c>
      <c r="AP71" t="s">
        <v>119</v>
      </c>
      <c r="AQ71" t="s">
        <v>120</v>
      </c>
      <c r="AR71" t="s">
        <v>122</v>
      </c>
      <c r="AS71" t="s">
        <v>175</v>
      </c>
      <c r="AT71" t="s">
        <v>175</v>
      </c>
      <c r="AU71" t="s">
        <v>175</v>
      </c>
    </row>
    <row r="72" spans="2:47" x14ac:dyDescent="0.3">
      <c r="B72" s="5">
        <v>45729</v>
      </c>
      <c r="C72" s="5">
        <v>45729</v>
      </c>
      <c r="D72" t="s">
        <v>87</v>
      </c>
      <c r="E72" t="s">
        <v>239</v>
      </c>
      <c r="F72" s="6">
        <v>10000</v>
      </c>
      <c r="G72" s="6">
        <v>10000</v>
      </c>
      <c r="P72" t="e">
        <f t="shared" ca="1" si="2"/>
        <v>#NAME?</v>
      </c>
      <c r="Q72" t="e">
        <f t="shared" si="3"/>
        <v>#VALUE!</v>
      </c>
      <c r="R72" s="9"/>
      <c r="S72" s="9"/>
      <c r="V72">
        <v>1</v>
      </c>
      <c r="W72" t="s">
        <v>126</v>
      </c>
      <c r="X72">
        <v>1</v>
      </c>
      <c r="Y72" t="s">
        <v>119</v>
      </c>
      <c r="AA72" t="s">
        <v>175</v>
      </c>
      <c r="AC72" t="s">
        <v>175</v>
      </c>
      <c r="AE72" t="s">
        <v>175</v>
      </c>
      <c r="AG72" t="s">
        <v>175</v>
      </c>
      <c r="AI72" t="s">
        <v>175</v>
      </c>
      <c r="AO72" t="s">
        <v>126</v>
      </c>
      <c r="AP72" t="s">
        <v>119</v>
      </c>
      <c r="AQ72" t="s">
        <v>175</v>
      </c>
      <c r="AR72" t="s">
        <v>175</v>
      </c>
      <c r="AS72" t="s">
        <v>175</v>
      </c>
      <c r="AT72" t="s">
        <v>175</v>
      </c>
      <c r="AU72" t="s">
        <v>175</v>
      </c>
    </row>
    <row r="73" spans="2:47" x14ac:dyDescent="0.3">
      <c r="B73" s="5">
        <v>45729</v>
      </c>
      <c r="C73" s="5">
        <v>45732</v>
      </c>
      <c r="D73" t="s">
        <v>81</v>
      </c>
      <c r="E73" t="s">
        <v>240</v>
      </c>
      <c r="F73" s="6">
        <v>137000</v>
      </c>
      <c r="G73" s="6">
        <v>100000</v>
      </c>
      <c r="P73" t="e">
        <f t="shared" ca="1" si="2"/>
        <v>#NAME?</v>
      </c>
      <c r="Q73" t="e">
        <f t="shared" si="3"/>
        <v>#VALUE!</v>
      </c>
      <c r="R73" s="9"/>
      <c r="S73" s="9"/>
      <c r="V73">
        <v>3</v>
      </c>
      <c r="W73" t="s">
        <v>127</v>
      </c>
      <c r="X73">
        <v>1</v>
      </c>
      <c r="Y73" t="s">
        <v>126</v>
      </c>
      <c r="Z73">
        <v>25</v>
      </c>
      <c r="AA73" t="s">
        <v>119</v>
      </c>
      <c r="AB73">
        <v>3</v>
      </c>
      <c r="AC73" t="s">
        <v>130</v>
      </c>
      <c r="AE73" t="s">
        <v>175</v>
      </c>
      <c r="AG73" t="s">
        <v>175</v>
      </c>
      <c r="AI73" t="s">
        <v>175</v>
      </c>
      <c r="AO73" t="s">
        <v>127</v>
      </c>
      <c r="AP73" t="s">
        <v>126</v>
      </c>
      <c r="AQ73" t="s">
        <v>119</v>
      </c>
      <c r="AR73" t="s">
        <v>130</v>
      </c>
      <c r="AS73" t="s">
        <v>175</v>
      </c>
      <c r="AT73" t="s">
        <v>175</v>
      </c>
      <c r="AU73" t="s">
        <v>175</v>
      </c>
    </row>
    <row r="74" spans="2:47" x14ac:dyDescent="0.3">
      <c r="B74" s="5">
        <v>45731</v>
      </c>
      <c r="C74" s="5">
        <v>0</v>
      </c>
      <c r="D74" t="s">
        <v>88</v>
      </c>
      <c r="E74" t="s">
        <v>241</v>
      </c>
      <c r="F74" s="6">
        <v>0</v>
      </c>
      <c r="G74" s="6">
        <v>0</v>
      </c>
      <c r="P74" t="e">
        <f t="shared" ca="1" si="2"/>
        <v>#NAME?</v>
      </c>
      <c r="Q74" t="e">
        <f t="shared" si="3"/>
        <v>#VALUE!</v>
      </c>
      <c r="R74" s="9"/>
      <c r="S74" s="9"/>
      <c r="V74">
        <v>1</v>
      </c>
      <c r="W74" t="s">
        <v>124</v>
      </c>
      <c r="X74">
        <v>1</v>
      </c>
      <c r="Y74" t="s">
        <v>126</v>
      </c>
      <c r="Z74">
        <v>4</v>
      </c>
      <c r="AA74" t="s">
        <v>119</v>
      </c>
      <c r="AB74">
        <v>2</v>
      </c>
      <c r="AC74" t="s">
        <v>130</v>
      </c>
      <c r="AE74" t="s">
        <v>175</v>
      </c>
      <c r="AG74" t="s">
        <v>175</v>
      </c>
      <c r="AI74" t="s">
        <v>175</v>
      </c>
      <c r="AO74" t="s">
        <v>124</v>
      </c>
      <c r="AP74" t="s">
        <v>126</v>
      </c>
      <c r="AQ74" t="s">
        <v>119</v>
      </c>
      <c r="AR74" t="s">
        <v>130</v>
      </c>
      <c r="AS74" t="s">
        <v>175</v>
      </c>
      <c r="AT74" t="s">
        <v>175</v>
      </c>
      <c r="AU74" t="s">
        <v>175</v>
      </c>
    </row>
    <row r="75" spans="2:47" x14ac:dyDescent="0.3">
      <c r="B75" s="5">
        <v>45731</v>
      </c>
      <c r="C75" s="5">
        <v>45731</v>
      </c>
      <c r="D75" t="s">
        <v>89</v>
      </c>
      <c r="E75" t="s">
        <v>242</v>
      </c>
      <c r="F75" s="6">
        <v>1500</v>
      </c>
      <c r="G75" s="6">
        <v>1500</v>
      </c>
      <c r="P75" t="e">
        <f t="shared" ca="1" si="2"/>
        <v>#NAME?</v>
      </c>
      <c r="Q75" t="e">
        <f t="shared" si="3"/>
        <v>#VALUE!</v>
      </c>
      <c r="R75" s="9"/>
      <c r="S75" s="9"/>
      <c r="V75">
        <v>1</v>
      </c>
      <c r="W75" t="s">
        <v>119</v>
      </c>
      <c r="X75">
        <v>1</v>
      </c>
      <c r="Y75" t="s">
        <v>120</v>
      </c>
      <c r="AA75" t="s">
        <v>175</v>
      </c>
      <c r="AC75" t="s">
        <v>175</v>
      </c>
      <c r="AE75" t="s">
        <v>175</v>
      </c>
      <c r="AG75" t="s">
        <v>175</v>
      </c>
      <c r="AI75" t="s">
        <v>175</v>
      </c>
      <c r="AO75" t="s">
        <v>119</v>
      </c>
      <c r="AP75" t="s">
        <v>120</v>
      </c>
      <c r="AQ75" t="s">
        <v>175</v>
      </c>
      <c r="AR75" t="s">
        <v>175</v>
      </c>
      <c r="AS75" t="s">
        <v>175</v>
      </c>
      <c r="AT75" t="s">
        <v>175</v>
      </c>
      <c r="AU75" t="s">
        <v>175</v>
      </c>
    </row>
    <row r="76" spans="2:47" x14ac:dyDescent="0.3">
      <c r="B76" s="5">
        <v>45731</v>
      </c>
      <c r="C76" s="5">
        <v>45738</v>
      </c>
      <c r="D76" t="s">
        <v>90</v>
      </c>
      <c r="E76" t="s">
        <v>243</v>
      </c>
      <c r="F76" s="6">
        <v>35000</v>
      </c>
      <c r="G76" s="6">
        <v>35000</v>
      </c>
      <c r="P76" t="e">
        <f t="shared" ca="1" si="2"/>
        <v>#NAME?</v>
      </c>
      <c r="Q76" t="e">
        <f t="shared" si="3"/>
        <v>#VALUE!</v>
      </c>
      <c r="R76" s="9"/>
      <c r="S76" s="9"/>
      <c r="V76">
        <v>1</v>
      </c>
      <c r="W76" t="s">
        <v>127</v>
      </c>
      <c r="X76">
        <v>10</v>
      </c>
      <c r="Y76" t="s">
        <v>119</v>
      </c>
      <c r="Z76">
        <v>3</v>
      </c>
      <c r="AA76" t="s">
        <v>120</v>
      </c>
      <c r="AC76" t="s">
        <v>175</v>
      </c>
      <c r="AE76" t="s">
        <v>175</v>
      </c>
      <c r="AG76" t="s">
        <v>175</v>
      </c>
      <c r="AI76" t="s">
        <v>175</v>
      </c>
      <c r="AO76" t="s">
        <v>127</v>
      </c>
      <c r="AP76" t="s">
        <v>119</v>
      </c>
      <c r="AQ76" t="s">
        <v>120</v>
      </c>
      <c r="AR76" t="s">
        <v>175</v>
      </c>
      <c r="AS76" t="s">
        <v>175</v>
      </c>
      <c r="AT76" t="s">
        <v>175</v>
      </c>
      <c r="AU76" t="s">
        <v>175</v>
      </c>
    </row>
    <row r="77" spans="2:47" x14ac:dyDescent="0.3">
      <c r="B77" s="5">
        <v>45731</v>
      </c>
      <c r="C77" s="5">
        <v>45732</v>
      </c>
      <c r="D77" t="s">
        <v>91</v>
      </c>
      <c r="E77" t="s">
        <v>244</v>
      </c>
      <c r="F77" s="6">
        <v>7000</v>
      </c>
      <c r="G77" s="6">
        <v>7000</v>
      </c>
      <c r="P77" t="e">
        <f t="shared" ca="1" si="2"/>
        <v>#NAME?</v>
      </c>
      <c r="Q77" t="e">
        <f t="shared" si="3"/>
        <v>#VALUE!</v>
      </c>
      <c r="R77" s="9"/>
      <c r="S77" s="9"/>
      <c r="V77">
        <v>2</v>
      </c>
      <c r="W77" t="s">
        <v>119</v>
      </c>
      <c r="X77">
        <v>2</v>
      </c>
      <c r="Y77" t="s">
        <v>120</v>
      </c>
      <c r="AA77" t="s">
        <v>175</v>
      </c>
      <c r="AC77" t="s">
        <v>175</v>
      </c>
      <c r="AE77" t="s">
        <v>175</v>
      </c>
      <c r="AG77" t="s">
        <v>175</v>
      </c>
      <c r="AI77" t="s">
        <v>175</v>
      </c>
      <c r="AO77" t="s">
        <v>119</v>
      </c>
      <c r="AP77" t="s">
        <v>120</v>
      </c>
      <c r="AQ77" t="s">
        <v>175</v>
      </c>
      <c r="AR77" t="s">
        <v>175</v>
      </c>
      <c r="AS77" t="s">
        <v>175</v>
      </c>
      <c r="AT77" t="s">
        <v>175</v>
      </c>
      <c r="AU77" t="s">
        <v>175</v>
      </c>
    </row>
    <row r="78" spans="2:47" x14ac:dyDescent="0.3">
      <c r="B78" s="5">
        <v>45731</v>
      </c>
      <c r="C78" s="5">
        <v>45733</v>
      </c>
      <c r="D78" t="s">
        <v>92</v>
      </c>
      <c r="E78" t="s">
        <v>245</v>
      </c>
      <c r="F78" s="6">
        <v>0</v>
      </c>
      <c r="G78" s="6">
        <v>12000</v>
      </c>
      <c r="P78" t="e">
        <f t="shared" ca="1" si="2"/>
        <v>#NAME?</v>
      </c>
      <c r="Q78" t="e">
        <f t="shared" si="3"/>
        <v>#VALUE!</v>
      </c>
      <c r="R78" s="9"/>
      <c r="S78" s="9"/>
      <c r="V78">
        <v>4</v>
      </c>
      <c r="W78" t="s">
        <v>119</v>
      </c>
      <c r="X78">
        <v>6</v>
      </c>
      <c r="Y78" t="s">
        <v>130</v>
      </c>
      <c r="AA78" t="s">
        <v>175</v>
      </c>
      <c r="AC78" t="s">
        <v>175</v>
      </c>
      <c r="AE78" t="s">
        <v>175</v>
      </c>
      <c r="AG78" t="s">
        <v>175</v>
      </c>
      <c r="AI78" t="s">
        <v>175</v>
      </c>
      <c r="AO78" t="s">
        <v>119</v>
      </c>
      <c r="AP78" t="s">
        <v>130</v>
      </c>
      <c r="AQ78" t="s">
        <v>175</v>
      </c>
      <c r="AR78" t="s">
        <v>175</v>
      </c>
      <c r="AS78" t="s">
        <v>175</v>
      </c>
      <c r="AT78" t="s">
        <v>175</v>
      </c>
      <c r="AU78" t="s">
        <v>175</v>
      </c>
    </row>
    <row r="79" spans="2:47" x14ac:dyDescent="0.3">
      <c r="B79" s="5">
        <v>45733</v>
      </c>
      <c r="C79" s="5">
        <v>45733</v>
      </c>
      <c r="D79" t="s">
        <v>93</v>
      </c>
      <c r="E79" t="s">
        <v>246</v>
      </c>
      <c r="F79" s="6">
        <v>34000</v>
      </c>
      <c r="G79" s="6">
        <v>34000</v>
      </c>
      <c r="P79" t="e">
        <f t="shared" ca="1" si="2"/>
        <v>#NAME?</v>
      </c>
      <c r="Q79" t="e">
        <f t="shared" si="3"/>
        <v>#VALUE!</v>
      </c>
      <c r="R79" s="9"/>
      <c r="S79" s="9"/>
      <c r="V79">
        <v>1</v>
      </c>
      <c r="W79" t="s">
        <v>127</v>
      </c>
      <c r="X79">
        <v>6</v>
      </c>
      <c r="Y79" t="s">
        <v>119</v>
      </c>
      <c r="Z79">
        <v>3</v>
      </c>
      <c r="AA79" t="s">
        <v>120</v>
      </c>
      <c r="AC79" t="s">
        <v>175</v>
      </c>
      <c r="AE79" t="s">
        <v>175</v>
      </c>
      <c r="AG79" t="s">
        <v>175</v>
      </c>
      <c r="AI79" t="s">
        <v>175</v>
      </c>
      <c r="AO79" t="s">
        <v>127</v>
      </c>
      <c r="AP79" t="s">
        <v>119</v>
      </c>
      <c r="AQ79" t="s">
        <v>120</v>
      </c>
      <c r="AR79" t="s">
        <v>175</v>
      </c>
      <c r="AS79" t="s">
        <v>175</v>
      </c>
      <c r="AT79" t="s">
        <v>175</v>
      </c>
      <c r="AU79" t="s">
        <v>175</v>
      </c>
    </row>
    <row r="80" spans="2:47" x14ac:dyDescent="0.3">
      <c r="B80" s="5">
        <v>45737</v>
      </c>
      <c r="C80" s="5">
        <v>0</v>
      </c>
      <c r="D80" t="s">
        <v>94</v>
      </c>
      <c r="E80" t="s">
        <v>247</v>
      </c>
      <c r="F80" s="6">
        <v>33000</v>
      </c>
      <c r="G80" s="6">
        <v>33000</v>
      </c>
      <c r="P80" t="e">
        <f t="shared" ca="1" si="2"/>
        <v>#NAME?</v>
      </c>
      <c r="Q80" t="e">
        <f t="shared" si="3"/>
        <v>#VALUE!</v>
      </c>
      <c r="R80" s="9"/>
      <c r="S80" s="9"/>
      <c r="V80">
        <v>1</v>
      </c>
      <c r="W80" t="s">
        <v>127</v>
      </c>
      <c r="X80">
        <v>6</v>
      </c>
      <c r="Y80" t="s">
        <v>119</v>
      </c>
      <c r="Z80">
        <v>12</v>
      </c>
      <c r="AA80" t="s">
        <v>120</v>
      </c>
      <c r="AC80" t="s">
        <v>175</v>
      </c>
      <c r="AE80" t="s">
        <v>175</v>
      </c>
      <c r="AG80" t="s">
        <v>175</v>
      </c>
      <c r="AI80" t="s">
        <v>175</v>
      </c>
      <c r="AO80" t="s">
        <v>127</v>
      </c>
      <c r="AP80" t="s">
        <v>119</v>
      </c>
      <c r="AQ80" t="s">
        <v>120</v>
      </c>
      <c r="AR80" t="s">
        <v>175</v>
      </c>
      <c r="AS80" t="s">
        <v>175</v>
      </c>
      <c r="AT80" t="s">
        <v>175</v>
      </c>
      <c r="AU80" t="s">
        <v>175</v>
      </c>
    </row>
    <row r="81" spans="2:47" x14ac:dyDescent="0.3">
      <c r="B81" s="5">
        <v>45738</v>
      </c>
      <c r="C81" s="5">
        <v>45738</v>
      </c>
      <c r="D81" t="s">
        <v>95</v>
      </c>
      <c r="E81" t="s">
        <v>248</v>
      </c>
      <c r="F81" s="6">
        <v>8000</v>
      </c>
      <c r="G81" s="6">
        <v>8000</v>
      </c>
      <c r="P81" t="e">
        <f t="shared" ca="1" si="2"/>
        <v>#NAME?</v>
      </c>
      <c r="Q81" t="e">
        <f t="shared" si="3"/>
        <v>#VALUE!</v>
      </c>
      <c r="R81" s="9"/>
      <c r="S81" s="9"/>
      <c r="V81">
        <v>4</v>
      </c>
      <c r="W81" t="s">
        <v>119</v>
      </c>
      <c r="X81">
        <v>2</v>
      </c>
      <c r="Y81" t="s">
        <v>120</v>
      </c>
      <c r="AA81" t="s">
        <v>175</v>
      </c>
      <c r="AC81" t="s">
        <v>175</v>
      </c>
      <c r="AE81" t="s">
        <v>175</v>
      </c>
      <c r="AG81" t="s">
        <v>175</v>
      </c>
      <c r="AI81" t="s">
        <v>175</v>
      </c>
      <c r="AO81" t="s">
        <v>119</v>
      </c>
      <c r="AP81" t="s">
        <v>120</v>
      </c>
      <c r="AQ81" t="s">
        <v>175</v>
      </c>
      <c r="AR81" t="s">
        <v>175</v>
      </c>
      <c r="AS81" t="s">
        <v>175</v>
      </c>
      <c r="AT81" t="s">
        <v>175</v>
      </c>
      <c r="AU81" t="s">
        <v>175</v>
      </c>
    </row>
    <row r="82" spans="2:47" x14ac:dyDescent="0.3">
      <c r="B82" s="5">
        <v>45741</v>
      </c>
      <c r="C82" s="5">
        <v>45746</v>
      </c>
      <c r="D82" t="s">
        <v>96</v>
      </c>
      <c r="E82" t="s">
        <v>249</v>
      </c>
      <c r="F82" s="6">
        <v>20000</v>
      </c>
      <c r="G82" s="6">
        <v>16000</v>
      </c>
      <c r="P82" t="e">
        <f t="shared" ca="1" si="2"/>
        <v>#NAME?</v>
      </c>
      <c r="Q82" t="e">
        <f t="shared" si="3"/>
        <v>#VALUE!</v>
      </c>
      <c r="R82" s="9"/>
      <c r="S82" s="9"/>
      <c r="V82">
        <v>1</v>
      </c>
      <c r="W82" t="s">
        <v>127</v>
      </c>
      <c r="X82">
        <v>2</v>
      </c>
      <c r="Y82" t="s">
        <v>119</v>
      </c>
      <c r="Z82">
        <v>4</v>
      </c>
      <c r="AA82" t="s">
        <v>130</v>
      </c>
      <c r="AC82" t="s">
        <v>175</v>
      </c>
      <c r="AE82" t="s">
        <v>175</v>
      </c>
      <c r="AG82" t="s">
        <v>175</v>
      </c>
      <c r="AI82" t="s">
        <v>175</v>
      </c>
      <c r="AO82" t="s">
        <v>127</v>
      </c>
      <c r="AP82" t="s">
        <v>119</v>
      </c>
      <c r="AQ82" t="s">
        <v>130</v>
      </c>
      <c r="AR82" t="s">
        <v>175</v>
      </c>
      <c r="AS82" t="s">
        <v>175</v>
      </c>
      <c r="AT82" t="s">
        <v>175</v>
      </c>
      <c r="AU82" t="s">
        <v>175</v>
      </c>
    </row>
    <row r="83" spans="2:47" x14ac:dyDescent="0.3">
      <c r="B83" s="5">
        <v>45743</v>
      </c>
      <c r="C83" s="5">
        <v>45745</v>
      </c>
      <c r="D83" t="s">
        <v>97</v>
      </c>
      <c r="E83" t="s">
        <v>250</v>
      </c>
      <c r="F83" s="6">
        <v>40000</v>
      </c>
      <c r="G83" s="6">
        <v>40000</v>
      </c>
      <c r="P83" t="e">
        <f t="shared" ca="1" si="2"/>
        <v>#NAME?</v>
      </c>
      <c r="Q83" t="e">
        <f t="shared" si="3"/>
        <v>#VALUE!</v>
      </c>
      <c r="R83" s="9"/>
      <c r="S83" s="9"/>
      <c r="V83">
        <v>2</v>
      </c>
      <c r="W83" t="s">
        <v>126</v>
      </c>
      <c r="X83">
        <v>8</v>
      </c>
      <c r="Y83" t="s">
        <v>119</v>
      </c>
      <c r="Z83">
        <v>2</v>
      </c>
      <c r="AA83" t="s">
        <v>130</v>
      </c>
      <c r="AC83" t="s">
        <v>175</v>
      </c>
      <c r="AE83" t="s">
        <v>175</v>
      </c>
      <c r="AG83" t="s">
        <v>175</v>
      </c>
      <c r="AI83" t="s">
        <v>175</v>
      </c>
      <c r="AO83" t="s">
        <v>126</v>
      </c>
      <c r="AP83" t="s">
        <v>119</v>
      </c>
      <c r="AQ83" t="s">
        <v>130</v>
      </c>
      <c r="AR83" t="s">
        <v>175</v>
      </c>
      <c r="AS83" t="s">
        <v>175</v>
      </c>
      <c r="AT83" t="s">
        <v>175</v>
      </c>
      <c r="AU83" t="s">
        <v>175</v>
      </c>
    </row>
    <row r="84" spans="2:47" x14ac:dyDescent="0.3">
      <c r="B84" s="5">
        <v>45744</v>
      </c>
      <c r="C84" s="5">
        <v>45745</v>
      </c>
      <c r="D84" t="s">
        <v>98</v>
      </c>
      <c r="E84" t="s">
        <v>251</v>
      </c>
      <c r="F84" s="6">
        <v>118600</v>
      </c>
      <c r="G84" s="6">
        <v>110000</v>
      </c>
      <c r="P84" t="e">
        <f t="shared" ca="1" si="2"/>
        <v>#NAME?</v>
      </c>
      <c r="Q84" t="e">
        <f t="shared" si="3"/>
        <v>#VALUE!</v>
      </c>
      <c r="R84" s="9"/>
      <c r="S84" s="9"/>
      <c r="V84">
        <v>18</v>
      </c>
      <c r="W84" t="s">
        <v>119</v>
      </c>
      <c r="X84">
        <v>40</v>
      </c>
      <c r="Y84" t="s">
        <v>130</v>
      </c>
      <c r="Z84">
        <v>3</v>
      </c>
      <c r="AA84" t="s">
        <v>122</v>
      </c>
      <c r="AB84">
        <v>1</v>
      </c>
      <c r="AC84" t="s">
        <v>176</v>
      </c>
      <c r="AE84" t="s">
        <v>175</v>
      </c>
      <c r="AG84" t="s">
        <v>175</v>
      </c>
      <c r="AI84" t="s">
        <v>175</v>
      </c>
      <c r="AO84" t="s">
        <v>119</v>
      </c>
      <c r="AP84" t="s">
        <v>130</v>
      </c>
      <c r="AQ84" t="s">
        <v>122</v>
      </c>
      <c r="AR84" t="s">
        <v>176</v>
      </c>
      <c r="AS84" t="s">
        <v>175</v>
      </c>
      <c r="AT84" t="s">
        <v>175</v>
      </c>
      <c r="AU84" t="s">
        <v>175</v>
      </c>
    </row>
    <row r="85" spans="2:47" x14ac:dyDescent="0.3">
      <c r="B85" s="5">
        <v>45747</v>
      </c>
      <c r="C85" s="5">
        <v>45747</v>
      </c>
      <c r="D85" t="s">
        <v>99</v>
      </c>
      <c r="E85" t="s">
        <v>252</v>
      </c>
      <c r="F85" s="6">
        <v>2500</v>
      </c>
      <c r="G85" s="6">
        <v>2000</v>
      </c>
      <c r="P85" t="e">
        <f t="shared" ca="1" si="2"/>
        <v>#NAME?</v>
      </c>
      <c r="Q85" t="e">
        <f t="shared" si="3"/>
        <v>#VALUE!</v>
      </c>
      <c r="R85" s="9"/>
      <c r="S85" s="9"/>
      <c r="V85">
        <v>1</v>
      </c>
      <c r="W85" t="s">
        <v>119</v>
      </c>
      <c r="Y85" t="s">
        <v>175</v>
      </c>
      <c r="AA85" t="s">
        <v>175</v>
      </c>
      <c r="AC85" t="s">
        <v>175</v>
      </c>
      <c r="AE85" t="s">
        <v>175</v>
      </c>
      <c r="AG85" t="s">
        <v>175</v>
      </c>
      <c r="AI85" t="s">
        <v>175</v>
      </c>
      <c r="AO85" t="s">
        <v>119</v>
      </c>
      <c r="AP85" t="s">
        <v>175</v>
      </c>
      <c r="AQ85" t="s">
        <v>175</v>
      </c>
      <c r="AR85" t="s">
        <v>175</v>
      </c>
      <c r="AS85" t="s">
        <v>175</v>
      </c>
      <c r="AT85" t="s">
        <v>175</v>
      </c>
      <c r="AU85" t="s">
        <v>175</v>
      </c>
    </row>
    <row r="86" spans="2:47" x14ac:dyDescent="0.3">
      <c r="B86" s="5">
        <v>45745</v>
      </c>
      <c r="C86" s="5">
        <v>45745</v>
      </c>
      <c r="D86" t="s">
        <v>100</v>
      </c>
      <c r="E86" t="s">
        <v>253</v>
      </c>
      <c r="F86" s="6">
        <v>4000</v>
      </c>
      <c r="G86" s="6">
        <v>4000</v>
      </c>
      <c r="P86" t="e">
        <f t="shared" ca="1" si="2"/>
        <v>#NAME?</v>
      </c>
      <c r="Q86" t="e">
        <f t="shared" si="3"/>
        <v>#VALUE!</v>
      </c>
      <c r="R86" s="9"/>
      <c r="S86" s="9"/>
      <c r="V86">
        <v>1</v>
      </c>
      <c r="W86" t="s">
        <v>119</v>
      </c>
      <c r="X86">
        <v>1</v>
      </c>
      <c r="Y86" t="s">
        <v>120</v>
      </c>
      <c r="AA86" t="s">
        <v>175</v>
      </c>
      <c r="AC86" t="s">
        <v>175</v>
      </c>
      <c r="AE86" t="s">
        <v>175</v>
      </c>
      <c r="AG86" t="s">
        <v>175</v>
      </c>
      <c r="AI86" t="s">
        <v>175</v>
      </c>
      <c r="AO86" t="s">
        <v>119</v>
      </c>
      <c r="AP86" t="s">
        <v>120</v>
      </c>
      <c r="AQ86" t="s">
        <v>175</v>
      </c>
      <c r="AR86" t="s">
        <v>175</v>
      </c>
      <c r="AS86" t="s">
        <v>175</v>
      </c>
      <c r="AT86" t="s">
        <v>175</v>
      </c>
      <c r="AU86" t="s">
        <v>175</v>
      </c>
    </row>
    <row r="87" spans="2:47" x14ac:dyDescent="0.3">
      <c r="B87" s="5">
        <v>45750</v>
      </c>
      <c r="C87" s="5">
        <v>0</v>
      </c>
      <c r="D87" t="s">
        <v>101</v>
      </c>
      <c r="E87" t="s">
        <v>102</v>
      </c>
      <c r="F87" s="6">
        <v>35000</v>
      </c>
      <c r="G87" s="6">
        <v>35000</v>
      </c>
      <c r="P87" t="e">
        <f t="shared" ca="1" si="2"/>
        <v>#NAME?</v>
      </c>
      <c r="Q87" t="e">
        <f t="shared" si="3"/>
        <v>#VALUE!</v>
      </c>
      <c r="R87" s="9"/>
      <c r="S87" s="9"/>
      <c r="V87">
        <v>70</v>
      </c>
      <c r="W87" t="s">
        <v>120</v>
      </c>
      <c r="Y87" t="s">
        <v>175</v>
      </c>
      <c r="AA87" t="s">
        <v>175</v>
      </c>
      <c r="AC87" t="s">
        <v>175</v>
      </c>
      <c r="AE87" t="s">
        <v>175</v>
      </c>
      <c r="AG87" t="s">
        <v>175</v>
      </c>
      <c r="AI87" t="s">
        <v>175</v>
      </c>
      <c r="AO87" t="s">
        <v>120</v>
      </c>
      <c r="AP87" t="s">
        <v>175</v>
      </c>
      <c r="AQ87" t="s">
        <v>175</v>
      </c>
      <c r="AR87" t="s">
        <v>175</v>
      </c>
      <c r="AS87" t="s">
        <v>175</v>
      </c>
      <c r="AT87" t="s">
        <v>175</v>
      </c>
      <c r="AU87" t="s">
        <v>175</v>
      </c>
    </row>
    <row r="88" spans="2:47" x14ac:dyDescent="0.3">
      <c r="B88" s="5">
        <v>45765</v>
      </c>
      <c r="C88" s="5">
        <v>0</v>
      </c>
      <c r="D88" t="s">
        <v>103</v>
      </c>
      <c r="E88" t="s">
        <v>104</v>
      </c>
      <c r="F88" s="6">
        <v>2000</v>
      </c>
      <c r="G88" s="6">
        <v>2000</v>
      </c>
      <c r="P88" t="e">
        <f t="shared" ca="1" si="2"/>
        <v>#NAME?</v>
      </c>
      <c r="Q88" t="e">
        <f t="shared" si="3"/>
        <v>#VALUE!</v>
      </c>
      <c r="R88" s="9"/>
      <c r="S88" s="9"/>
      <c r="V88">
        <v>1</v>
      </c>
      <c r="W88" t="s">
        <v>123</v>
      </c>
      <c r="Y88" t="s">
        <v>175</v>
      </c>
      <c r="AA88" t="s">
        <v>175</v>
      </c>
      <c r="AC88" t="s">
        <v>175</v>
      </c>
      <c r="AE88" t="s">
        <v>175</v>
      </c>
      <c r="AG88" t="s">
        <v>175</v>
      </c>
      <c r="AI88" t="s">
        <v>175</v>
      </c>
      <c r="AO88" t="s">
        <v>123</v>
      </c>
      <c r="AP88" t="s">
        <v>175</v>
      </c>
      <c r="AQ88" t="s">
        <v>175</v>
      </c>
      <c r="AR88" t="s">
        <v>175</v>
      </c>
      <c r="AS88" t="s">
        <v>175</v>
      </c>
      <c r="AT88" t="s">
        <v>175</v>
      </c>
      <c r="AU88" t="s">
        <v>175</v>
      </c>
    </row>
    <row r="89" spans="2:47" x14ac:dyDescent="0.3">
      <c r="B89" s="5">
        <v>45758</v>
      </c>
      <c r="C89" s="5">
        <v>45758</v>
      </c>
      <c r="D89" t="s">
        <v>39</v>
      </c>
      <c r="E89" t="s">
        <v>195</v>
      </c>
      <c r="F89" s="6">
        <v>0</v>
      </c>
      <c r="G89" s="6">
        <v>35000</v>
      </c>
      <c r="P89" t="e">
        <f t="shared" ca="1" si="2"/>
        <v>#NAME?</v>
      </c>
      <c r="Q89" t="e">
        <f t="shared" si="3"/>
        <v>#VALUE!</v>
      </c>
      <c r="R89" s="9"/>
      <c r="S89" s="9"/>
      <c r="V89">
        <v>67</v>
      </c>
      <c r="W89" t="s">
        <v>119</v>
      </c>
      <c r="Y89" t="s">
        <v>175</v>
      </c>
      <c r="AA89" t="s">
        <v>175</v>
      </c>
      <c r="AC89" t="s">
        <v>175</v>
      </c>
      <c r="AE89" t="s">
        <v>175</v>
      </c>
      <c r="AG89" t="s">
        <v>175</v>
      </c>
      <c r="AI89" t="s">
        <v>175</v>
      </c>
      <c r="AO89" t="s">
        <v>119</v>
      </c>
      <c r="AP89" t="s">
        <v>175</v>
      </c>
      <c r="AQ89" t="s">
        <v>175</v>
      </c>
      <c r="AR89" t="s">
        <v>175</v>
      </c>
      <c r="AS89" t="s">
        <v>175</v>
      </c>
      <c r="AT89" t="s">
        <v>175</v>
      </c>
      <c r="AU89" t="s">
        <v>175</v>
      </c>
    </row>
    <row r="90" spans="2:47" x14ac:dyDescent="0.3">
      <c r="B90" s="5">
        <v>45767</v>
      </c>
      <c r="C90" s="5">
        <v>45767</v>
      </c>
      <c r="D90" t="s">
        <v>105</v>
      </c>
      <c r="E90" t="s">
        <v>254</v>
      </c>
      <c r="F90" s="6">
        <v>31500</v>
      </c>
      <c r="G90" s="6">
        <v>31500</v>
      </c>
      <c r="P90" t="e">
        <f t="shared" ca="1" si="2"/>
        <v>#NAME?</v>
      </c>
      <c r="Q90" t="e">
        <f t="shared" si="3"/>
        <v>#VALUE!</v>
      </c>
      <c r="R90" s="9"/>
      <c r="S90" s="9"/>
      <c r="V90">
        <v>1</v>
      </c>
      <c r="W90" t="s">
        <v>126</v>
      </c>
      <c r="X90">
        <v>1</v>
      </c>
      <c r="Y90" t="s">
        <v>124</v>
      </c>
      <c r="Z90">
        <v>4</v>
      </c>
      <c r="AA90" t="s">
        <v>119</v>
      </c>
      <c r="AB90">
        <v>1</v>
      </c>
      <c r="AC90" t="s">
        <v>130</v>
      </c>
      <c r="AE90" t="s">
        <v>175</v>
      </c>
      <c r="AG90" t="s">
        <v>175</v>
      </c>
      <c r="AI90" t="s">
        <v>175</v>
      </c>
      <c r="AO90" t="s">
        <v>126</v>
      </c>
      <c r="AP90" t="s">
        <v>124</v>
      </c>
      <c r="AQ90" t="s">
        <v>119</v>
      </c>
      <c r="AR90" t="s">
        <v>130</v>
      </c>
      <c r="AS90" t="s">
        <v>175</v>
      </c>
      <c r="AT90" t="s">
        <v>175</v>
      </c>
      <c r="AU90" t="s">
        <v>175</v>
      </c>
    </row>
    <row r="91" spans="2:47" x14ac:dyDescent="0.3">
      <c r="B91" s="5">
        <v>45767</v>
      </c>
      <c r="C91" s="5">
        <v>45774</v>
      </c>
      <c r="D91" t="s">
        <v>106</v>
      </c>
      <c r="E91" t="s">
        <v>255</v>
      </c>
      <c r="F91" s="6">
        <v>200000</v>
      </c>
      <c r="G91" s="6">
        <v>200000</v>
      </c>
      <c r="P91" t="e">
        <f t="shared" ca="1" si="2"/>
        <v>#NAME?</v>
      </c>
      <c r="Q91" t="e">
        <f t="shared" si="3"/>
        <v>#VALUE!</v>
      </c>
      <c r="R91" s="9"/>
      <c r="S91" s="9"/>
      <c r="V91">
        <v>4</v>
      </c>
      <c r="W91" t="s">
        <v>127</v>
      </c>
      <c r="X91">
        <v>1</v>
      </c>
      <c r="Y91" t="s">
        <v>126</v>
      </c>
      <c r="Z91">
        <v>25</v>
      </c>
      <c r="AA91" t="s">
        <v>119</v>
      </c>
      <c r="AB91">
        <v>60</v>
      </c>
      <c r="AC91" t="s">
        <v>130</v>
      </c>
      <c r="AE91" t="s">
        <v>175</v>
      </c>
      <c r="AG91" t="s">
        <v>175</v>
      </c>
      <c r="AI91" t="s">
        <v>175</v>
      </c>
      <c r="AO91" t="s">
        <v>127</v>
      </c>
      <c r="AP91" t="s">
        <v>126</v>
      </c>
      <c r="AQ91" t="s">
        <v>119</v>
      </c>
      <c r="AR91" t="s">
        <v>130</v>
      </c>
      <c r="AS91" t="s">
        <v>175</v>
      </c>
      <c r="AT91" t="s">
        <v>175</v>
      </c>
      <c r="AU91" t="s">
        <v>175</v>
      </c>
    </row>
    <row r="92" spans="2:47" x14ac:dyDescent="0.3">
      <c r="B92" s="5">
        <v>45767</v>
      </c>
      <c r="C92" s="5">
        <v>45774</v>
      </c>
      <c r="D92" t="s">
        <v>107</v>
      </c>
      <c r="E92" t="s">
        <v>256</v>
      </c>
      <c r="F92" s="6">
        <v>26000</v>
      </c>
      <c r="G92" s="6">
        <v>0</v>
      </c>
      <c r="P92" t="e">
        <f t="shared" ca="1" si="2"/>
        <v>#NAME?</v>
      </c>
      <c r="Q92" t="e">
        <f t="shared" si="3"/>
        <v>#VALUE!</v>
      </c>
      <c r="R92" s="9"/>
      <c r="S92" s="9"/>
      <c r="V92">
        <v>1</v>
      </c>
      <c r="W92" t="s">
        <v>126</v>
      </c>
      <c r="X92">
        <v>3</v>
      </c>
      <c r="Y92" t="s">
        <v>119</v>
      </c>
      <c r="Z92">
        <v>5</v>
      </c>
      <c r="AA92" t="s">
        <v>130</v>
      </c>
      <c r="AC92" t="s">
        <v>175</v>
      </c>
      <c r="AE92" t="s">
        <v>175</v>
      </c>
      <c r="AG92" t="s">
        <v>175</v>
      </c>
      <c r="AI92" t="s">
        <v>175</v>
      </c>
      <c r="AO92" t="s">
        <v>126</v>
      </c>
      <c r="AP92" t="s">
        <v>119</v>
      </c>
      <c r="AQ92" t="s">
        <v>130</v>
      </c>
      <c r="AR92" t="s">
        <v>175</v>
      </c>
      <c r="AS92" t="s">
        <v>175</v>
      </c>
      <c r="AT92" t="s">
        <v>175</v>
      </c>
      <c r="AU92" t="s">
        <v>175</v>
      </c>
    </row>
    <row r="93" spans="2:47" x14ac:dyDescent="0.3">
      <c r="B93" s="5">
        <v>45772</v>
      </c>
      <c r="C93" s="5">
        <v>45772</v>
      </c>
      <c r="D93" t="s">
        <v>52</v>
      </c>
      <c r="E93" t="s">
        <v>257</v>
      </c>
      <c r="F93" s="6">
        <v>0</v>
      </c>
      <c r="G93" s="6">
        <v>18000</v>
      </c>
      <c r="P93" t="e">
        <f t="shared" ca="1" si="2"/>
        <v>#NAME?</v>
      </c>
      <c r="Q93" t="e">
        <f t="shared" si="3"/>
        <v>#VALUE!</v>
      </c>
      <c r="R93" s="9"/>
      <c r="S93" s="9"/>
      <c r="V93">
        <v>1</v>
      </c>
      <c r="W93" t="s">
        <v>126</v>
      </c>
      <c r="X93">
        <v>3</v>
      </c>
      <c r="Y93" t="s">
        <v>119</v>
      </c>
      <c r="AA93" t="s">
        <v>175</v>
      </c>
      <c r="AC93" t="s">
        <v>175</v>
      </c>
      <c r="AE93" t="s">
        <v>175</v>
      </c>
      <c r="AG93" t="s">
        <v>175</v>
      </c>
      <c r="AI93" t="s">
        <v>175</v>
      </c>
      <c r="AO93" t="s">
        <v>126</v>
      </c>
      <c r="AP93" t="s">
        <v>119</v>
      </c>
      <c r="AQ93" t="s">
        <v>175</v>
      </c>
      <c r="AR93" t="s">
        <v>175</v>
      </c>
      <c r="AS93" t="s">
        <v>175</v>
      </c>
      <c r="AT93" t="s">
        <v>175</v>
      </c>
      <c r="AU93" t="s">
        <v>175</v>
      </c>
    </row>
    <row r="94" spans="2:47" x14ac:dyDescent="0.3">
      <c r="B94" s="5">
        <v>45772</v>
      </c>
      <c r="C94" s="5">
        <v>0</v>
      </c>
      <c r="D94" t="s">
        <v>108</v>
      </c>
      <c r="E94" t="s">
        <v>196</v>
      </c>
      <c r="F94" s="6">
        <v>5000</v>
      </c>
      <c r="G94" s="6">
        <v>3000</v>
      </c>
      <c r="P94" t="e">
        <f t="shared" ca="1" si="2"/>
        <v>#NAME?</v>
      </c>
      <c r="Q94" t="e">
        <f t="shared" si="3"/>
        <v>#VALUE!</v>
      </c>
      <c r="R94" s="9"/>
      <c r="S94" s="9"/>
      <c r="V94">
        <v>5</v>
      </c>
      <c r="W94" t="s">
        <v>119</v>
      </c>
      <c r="Y94" t="s">
        <v>175</v>
      </c>
      <c r="AA94" t="s">
        <v>175</v>
      </c>
      <c r="AC94" t="s">
        <v>175</v>
      </c>
      <c r="AE94" t="s">
        <v>175</v>
      </c>
      <c r="AG94" t="s">
        <v>175</v>
      </c>
      <c r="AI94" t="s">
        <v>175</v>
      </c>
      <c r="AO94" t="s">
        <v>119</v>
      </c>
      <c r="AP94" t="s">
        <v>175</v>
      </c>
      <c r="AQ94" t="s">
        <v>175</v>
      </c>
      <c r="AR94" t="s">
        <v>175</v>
      </c>
      <c r="AS94" t="s">
        <v>175</v>
      </c>
      <c r="AT94" t="s">
        <v>175</v>
      </c>
      <c r="AU94" t="s">
        <v>175</v>
      </c>
    </row>
    <row r="95" spans="2:47" x14ac:dyDescent="0.3">
      <c r="B95" s="5">
        <v>45773</v>
      </c>
      <c r="C95" s="5">
        <v>0</v>
      </c>
      <c r="D95">
        <v>0</v>
      </c>
      <c r="E95" t="s">
        <v>258</v>
      </c>
      <c r="F95" s="6">
        <v>16000</v>
      </c>
      <c r="G95" s="6">
        <v>16000</v>
      </c>
      <c r="P95" t="e">
        <f t="shared" ca="1" si="2"/>
        <v>#NAME?</v>
      </c>
      <c r="Q95" t="e">
        <f t="shared" si="3"/>
        <v>#VALUE!</v>
      </c>
      <c r="R95" s="9"/>
      <c r="S95" s="9"/>
      <c r="V95">
        <v>5</v>
      </c>
      <c r="W95" t="s">
        <v>119</v>
      </c>
      <c r="X95">
        <v>21</v>
      </c>
      <c r="Y95" t="s">
        <v>120</v>
      </c>
      <c r="AA95" t="s">
        <v>175</v>
      </c>
      <c r="AC95" t="s">
        <v>175</v>
      </c>
      <c r="AE95" t="s">
        <v>175</v>
      </c>
      <c r="AG95" t="s">
        <v>175</v>
      </c>
      <c r="AI95" t="s">
        <v>175</v>
      </c>
      <c r="AO95" t="s">
        <v>119</v>
      </c>
      <c r="AP95" t="s">
        <v>120</v>
      </c>
      <c r="AQ95" t="s">
        <v>175</v>
      </c>
      <c r="AR95" t="s">
        <v>175</v>
      </c>
      <c r="AS95" t="s">
        <v>175</v>
      </c>
      <c r="AT95" t="s">
        <v>175</v>
      </c>
      <c r="AU95" t="s">
        <v>175</v>
      </c>
    </row>
    <row r="96" spans="2:47" x14ac:dyDescent="0.3">
      <c r="B96" s="5">
        <v>45773</v>
      </c>
      <c r="C96" s="5">
        <v>0</v>
      </c>
      <c r="D96" t="s">
        <v>65</v>
      </c>
      <c r="E96" t="s">
        <v>109</v>
      </c>
      <c r="F96" s="6">
        <v>18000</v>
      </c>
      <c r="G96" s="6">
        <v>18000</v>
      </c>
      <c r="P96" t="e">
        <f t="shared" ca="1" si="2"/>
        <v>#NAME?</v>
      </c>
      <c r="Q96" t="e">
        <f t="shared" si="3"/>
        <v>#VALUE!</v>
      </c>
      <c r="R96" s="9"/>
      <c r="S96" s="9"/>
      <c r="V96">
        <v>36</v>
      </c>
      <c r="W96" t="s">
        <v>120</v>
      </c>
      <c r="Y96" t="s">
        <v>175</v>
      </c>
      <c r="AA96" t="s">
        <v>175</v>
      </c>
      <c r="AC96" t="s">
        <v>175</v>
      </c>
      <c r="AE96" t="s">
        <v>175</v>
      </c>
      <c r="AG96" t="s">
        <v>175</v>
      </c>
      <c r="AI96" t="s">
        <v>175</v>
      </c>
      <c r="AO96" t="s">
        <v>120</v>
      </c>
      <c r="AP96" t="s">
        <v>175</v>
      </c>
      <c r="AQ96" t="s">
        <v>175</v>
      </c>
      <c r="AR96" t="s">
        <v>175</v>
      </c>
      <c r="AS96" t="s">
        <v>175</v>
      </c>
      <c r="AT96" t="s">
        <v>175</v>
      </c>
      <c r="AU96" t="s">
        <v>175</v>
      </c>
    </row>
    <row r="97" spans="2:47" x14ac:dyDescent="0.3">
      <c r="B97" s="5">
        <v>45778</v>
      </c>
      <c r="C97" s="5">
        <v>0</v>
      </c>
      <c r="D97">
        <v>0</v>
      </c>
      <c r="E97" t="s">
        <v>252</v>
      </c>
      <c r="F97" s="6">
        <v>2000</v>
      </c>
      <c r="G97" s="6">
        <v>2000</v>
      </c>
      <c r="P97" t="e">
        <f t="shared" ca="1" si="2"/>
        <v>#NAME?</v>
      </c>
      <c r="Q97" t="e">
        <f t="shared" si="3"/>
        <v>#VALUE!</v>
      </c>
      <c r="R97" s="9"/>
      <c r="S97" s="9"/>
      <c r="V97">
        <v>1</v>
      </c>
      <c r="W97" t="s">
        <v>119</v>
      </c>
      <c r="Y97" t="s">
        <v>175</v>
      </c>
      <c r="AA97" t="s">
        <v>175</v>
      </c>
      <c r="AC97" t="s">
        <v>175</v>
      </c>
      <c r="AE97" t="s">
        <v>175</v>
      </c>
      <c r="AG97" t="s">
        <v>175</v>
      </c>
      <c r="AI97" t="s">
        <v>175</v>
      </c>
      <c r="AO97" t="s">
        <v>119</v>
      </c>
      <c r="AP97" t="s">
        <v>175</v>
      </c>
      <c r="AQ97" t="s">
        <v>175</v>
      </c>
      <c r="AR97" t="s">
        <v>175</v>
      </c>
      <c r="AS97" t="s">
        <v>175</v>
      </c>
      <c r="AT97" t="s">
        <v>175</v>
      </c>
      <c r="AU97" t="s">
        <v>175</v>
      </c>
    </row>
    <row r="98" spans="2:47" x14ac:dyDescent="0.3">
      <c r="B98" s="5">
        <v>45780</v>
      </c>
      <c r="C98" s="5">
        <v>45780</v>
      </c>
      <c r="D98" t="s">
        <v>110</v>
      </c>
      <c r="E98" t="s">
        <v>259</v>
      </c>
      <c r="F98" s="6">
        <v>90000</v>
      </c>
      <c r="G98" s="6">
        <v>90000</v>
      </c>
      <c r="P98" t="e">
        <f t="shared" ca="1" si="2"/>
        <v>#NAME?</v>
      </c>
      <c r="Q98" t="e">
        <f t="shared" si="3"/>
        <v>#VALUE!</v>
      </c>
      <c r="R98" s="9"/>
      <c r="S98" s="9"/>
      <c r="V98">
        <v>1</v>
      </c>
      <c r="W98" t="s">
        <v>128</v>
      </c>
      <c r="X98">
        <v>50</v>
      </c>
      <c r="Y98" t="s">
        <v>120</v>
      </c>
      <c r="Z98">
        <v>25</v>
      </c>
      <c r="AA98" t="s">
        <v>119</v>
      </c>
      <c r="AB98">
        <v>2</v>
      </c>
      <c r="AC98" t="s">
        <v>126</v>
      </c>
      <c r="AD98">
        <v>2</v>
      </c>
      <c r="AE98" t="s">
        <v>121</v>
      </c>
      <c r="AF98">
        <v>5</v>
      </c>
      <c r="AG98" t="s">
        <v>122</v>
      </c>
      <c r="AI98" t="s">
        <v>175</v>
      </c>
      <c r="AO98" t="s">
        <v>128</v>
      </c>
      <c r="AP98" t="s">
        <v>120</v>
      </c>
      <c r="AQ98" t="s">
        <v>119</v>
      </c>
      <c r="AR98" t="s">
        <v>126</v>
      </c>
      <c r="AS98" t="s">
        <v>121</v>
      </c>
      <c r="AT98" t="s">
        <v>122</v>
      </c>
      <c r="AU98" t="s">
        <v>175</v>
      </c>
    </row>
    <row r="99" spans="2:47" x14ac:dyDescent="0.3">
      <c r="B99" s="5">
        <v>45780</v>
      </c>
      <c r="C99" s="5">
        <v>45807</v>
      </c>
      <c r="D99" t="s">
        <v>111</v>
      </c>
      <c r="E99" t="s">
        <v>260</v>
      </c>
      <c r="F99" s="6">
        <v>157000</v>
      </c>
      <c r="G99" s="6">
        <v>100000</v>
      </c>
      <c r="P99" t="e">
        <f t="shared" ca="1" si="2"/>
        <v>#NAME?</v>
      </c>
      <c r="Q99" t="e">
        <f t="shared" si="3"/>
        <v>#VALUE!</v>
      </c>
      <c r="R99" s="9"/>
      <c r="S99" s="9"/>
      <c r="V99">
        <v>25</v>
      </c>
      <c r="W99" t="s">
        <v>119</v>
      </c>
      <c r="X99">
        <v>50</v>
      </c>
      <c r="Y99" t="s">
        <v>130</v>
      </c>
      <c r="Z99">
        <v>2</v>
      </c>
      <c r="AA99" t="s">
        <v>126</v>
      </c>
      <c r="AB99">
        <v>8</v>
      </c>
      <c r="AC99" t="s">
        <v>122</v>
      </c>
      <c r="AE99" t="s">
        <v>175</v>
      </c>
      <c r="AG99" t="s">
        <v>175</v>
      </c>
      <c r="AI99" t="s">
        <v>175</v>
      </c>
      <c r="AO99" t="s">
        <v>119</v>
      </c>
      <c r="AP99" t="s">
        <v>130</v>
      </c>
      <c r="AQ99" t="s">
        <v>126</v>
      </c>
      <c r="AR99" t="s">
        <v>122</v>
      </c>
      <c r="AS99" t="s">
        <v>175</v>
      </c>
      <c r="AT99" t="s">
        <v>175</v>
      </c>
      <c r="AU99" t="s">
        <v>175</v>
      </c>
    </row>
    <row r="100" spans="2:47" x14ac:dyDescent="0.3">
      <c r="B100" s="5">
        <v>45781</v>
      </c>
      <c r="C100" s="5">
        <v>0</v>
      </c>
      <c r="D100" t="s">
        <v>112</v>
      </c>
      <c r="E100" t="s">
        <v>261</v>
      </c>
      <c r="F100" s="6">
        <v>89000</v>
      </c>
      <c r="G100" s="6">
        <v>89000</v>
      </c>
      <c r="P100" t="e">
        <f t="shared" ca="1" si="2"/>
        <v>#NAME?</v>
      </c>
      <c r="Q100" t="e">
        <f t="shared" si="3"/>
        <v>#VALUE!</v>
      </c>
      <c r="R100" s="9"/>
      <c r="S100" s="9"/>
      <c r="V100">
        <v>10</v>
      </c>
      <c r="W100" t="s">
        <v>140</v>
      </c>
      <c r="X100">
        <v>20</v>
      </c>
      <c r="Y100" t="s">
        <v>130</v>
      </c>
      <c r="AA100" t="s">
        <v>175</v>
      </c>
      <c r="AC100" t="s">
        <v>175</v>
      </c>
      <c r="AE100" t="s">
        <v>175</v>
      </c>
      <c r="AG100" t="s">
        <v>175</v>
      </c>
      <c r="AI100" t="s">
        <v>175</v>
      </c>
      <c r="AO100" t="s">
        <v>140</v>
      </c>
      <c r="AP100" t="s">
        <v>130</v>
      </c>
      <c r="AQ100" t="s">
        <v>175</v>
      </c>
      <c r="AR100" t="s">
        <v>175</v>
      </c>
      <c r="AS100" t="s">
        <v>175</v>
      </c>
      <c r="AT100" t="s">
        <v>175</v>
      </c>
      <c r="AU100" t="s">
        <v>175</v>
      </c>
    </row>
    <row r="101" spans="2:47" x14ac:dyDescent="0.3">
      <c r="B101" s="5">
        <v>45784</v>
      </c>
      <c r="C101" s="5">
        <v>45787</v>
      </c>
      <c r="D101" t="s">
        <v>113</v>
      </c>
      <c r="E101" t="s">
        <v>262</v>
      </c>
      <c r="F101" s="6">
        <v>7000</v>
      </c>
      <c r="G101" s="6">
        <v>7000</v>
      </c>
      <c r="P101" t="e">
        <f t="shared" ca="1" si="2"/>
        <v>#NAME?</v>
      </c>
      <c r="Q101" t="e">
        <f t="shared" si="3"/>
        <v>#VALUE!</v>
      </c>
      <c r="R101" s="9"/>
      <c r="S101" s="9"/>
      <c r="V101">
        <v>10</v>
      </c>
      <c r="W101" t="s">
        <v>119</v>
      </c>
      <c r="Y101" t="s">
        <v>175</v>
      </c>
      <c r="AA101" t="s">
        <v>175</v>
      </c>
      <c r="AC101" t="s">
        <v>175</v>
      </c>
      <c r="AE101" t="s">
        <v>175</v>
      </c>
      <c r="AG101" t="s">
        <v>175</v>
      </c>
      <c r="AI101" t="s">
        <v>175</v>
      </c>
      <c r="AO101" t="s">
        <v>119</v>
      </c>
      <c r="AP101" t="s">
        <v>175</v>
      </c>
      <c r="AQ101" t="s">
        <v>175</v>
      </c>
      <c r="AR101" t="s">
        <v>175</v>
      </c>
      <c r="AS101" t="s">
        <v>175</v>
      </c>
      <c r="AT101" t="s">
        <v>175</v>
      </c>
      <c r="AU101" t="s">
        <v>175</v>
      </c>
    </row>
    <row r="102" spans="2:47" x14ac:dyDescent="0.3">
      <c r="B102" s="5">
        <v>45785</v>
      </c>
      <c r="C102" s="5">
        <v>45786</v>
      </c>
      <c r="D102" t="s">
        <v>114</v>
      </c>
      <c r="E102" t="s">
        <v>265</v>
      </c>
      <c r="F102" s="6">
        <v>18000</v>
      </c>
      <c r="G102" s="6">
        <v>18000</v>
      </c>
      <c r="P102" t="e">
        <f t="shared" ca="1" si="2"/>
        <v>#NAME?</v>
      </c>
      <c r="Q102" t="e">
        <f t="shared" si="3"/>
        <v>#VALUE!</v>
      </c>
      <c r="R102" s="9"/>
      <c r="S102" s="9"/>
      <c r="V102">
        <v>15</v>
      </c>
      <c r="W102" t="s">
        <v>119</v>
      </c>
      <c r="X102">
        <v>1</v>
      </c>
      <c r="Y102" t="s">
        <v>45</v>
      </c>
      <c r="AA102" t="s">
        <v>175</v>
      </c>
      <c r="AC102" t="s">
        <v>175</v>
      </c>
      <c r="AE102" t="s">
        <v>175</v>
      </c>
      <c r="AG102" t="s">
        <v>175</v>
      </c>
      <c r="AI102" t="s">
        <v>175</v>
      </c>
      <c r="AO102" t="s">
        <v>119</v>
      </c>
      <c r="AP102" t="s">
        <v>45</v>
      </c>
      <c r="AQ102" t="s">
        <v>175</v>
      </c>
      <c r="AR102" t="s">
        <v>175</v>
      </c>
      <c r="AS102" t="s">
        <v>175</v>
      </c>
      <c r="AT102" t="s">
        <v>175</v>
      </c>
      <c r="AU102" t="s">
        <v>175</v>
      </c>
    </row>
    <row r="103" spans="2:47" x14ac:dyDescent="0.3">
      <c r="B103" s="5">
        <v>45792</v>
      </c>
      <c r="C103" s="5">
        <v>0</v>
      </c>
      <c r="D103" t="s">
        <v>115</v>
      </c>
      <c r="E103" t="s">
        <v>116</v>
      </c>
      <c r="F103" s="6">
        <v>30000</v>
      </c>
      <c r="G103" s="6">
        <v>30000</v>
      </c>
      <c r="P103" t="e">
        <f t="shared" ca="1" si="2"/>
        <v>#NAME?</v>
      </c>
      <c r="Q103" t="e">
        <f t="shared" si="3"/>
        <v>#VALUE!</v>
      </c>
      <c r="R103" s="9"/>
      <c r="S103" s="9"/>
      <c r="V103">
        <v>4</v>
      </c>
      <c r="W103" t="s">
        <v>126</v>
      </c>
      <c r="X103">
        <v>2</v>
      </c>
      <c r="Y103" t="s">
        <v>121</v>
      </c>
      <c r="AA103" t="s">
        <v>175</v>
      </c>
      <c r="AC103" t="s">
        <v>175</v>
      </c>
      <c r="AE103" t="s">
        <v>175</v>
      </c>
      <c r="AG103" t="s">
        <v>175</v>
      </c>
      <c r="AI103" t="s">
        <v>175</v>
      </c>
      <c r="AO103" t="s">
        <v>126</v>
      </c>
      <c r="AP103" t="s">
        <v>121</v>
      </c>
      <c r="AQ103" t="s">
        <v>175</v>
      </c>
      <c r="AR103" t="s">
        <v>175</v>
      </c>
      <c r="AS103" t="s">
        <v>175</v>
      </c>
      <c r="AT103" t="s">
        <v>175</v>
      </c>
      <c r="AU103" t="s">
        <v>175</v>
      </c>
    </row>
    <row r="104" spans="2:47" x14ac:dyDescent="0.3">
      <c r="B104" s="5">
        <v>45790</v>
      </c>
      <c r="C104" s="5">
        <v>45816</v>
      </c>
      <c r="D104" t="s">
        <v>107</v>
      </c>
      <c r="E104" t="s">
        <v>264</v>
      </c>
      <c r="F104" s="6">
        <v>0</v>
      </c>
      <c r="G104" s="6">
        <v>0</v>
      </c>
      <c r="P104" t="e">
        <f t="shared" ca="1" si="2"/>
        <v>#NAME?</v>
      </c>
      <c r="Q104" t="e">
        <f t="shared" si="3"/>
        <v>#VALUE!</v>
      </c>
      <c r="R104" s="9"/>
      <c r="S104" s="9"/>
      <c r="V104">
        <v>1</v>
      </c>
      <c r="W104" t="s">
        <v>45</v>
      </c>
      <c r="Y104" t="s">
        <v>175</v>
      </c>
      <c r="AA104" t="s">
        <v>175</v>
      </c>
      <c r="AC104" t="s">
        <v>175</v>
      </c>
      <c r="AE104" t="s">
        <v>175</v>
      </c>
      <c r="AG104" t="s">
        <v>175</v>
      </c>
      <c r="AI104" t="s">
        <v>175</v>
      </c>
      <c r="AO104" t="s">
        <v>45</v>
      </c>
      <c r="AP104" t="s">
        <v>175</v>
      </c>
      <c r="AQ104" t="s">
        <v>175</v>
      </c>
      <c r="AR104" t="s">
        <v>175</v>
      </c>
      <c r="AS104" t="s">
        <v>175</v>
      </c>
      <c r="AT104" t="s">
        <v>175</v>
      </c>
      <c r="AU104" t="s">
        <v>175</v>
      </c>
    </row>
    <row r="105" spans="2:47" x14ac:dyDescent="0.3">
      <c r="B105" s="5">
        <v>45780</v>
      </c>
      <c r="C105" s="5">
        <v>45814</v>
      </c>
      <c r="D105" t="s">
        <v>117</v>
      </c>
      <c r="E105" t="s">
        <v>263</v>
      </c>
      <c r="F105" s="6">
        <v>15000</v>
      </c>
      <c r="G105" s="6">
        <v>15000</v>
      </c>
      <c r="P105" t="e">
        <f t="shared" ca="1" si="2"/>
        <v>#NAME?</v>
      </c>
      <c r="Q105" t="e">
        <f t="shared" si="3"/>
        <v>#VALUE!</v>
      </c>
      <c r="R105" s="9"/>
      <c r="S105" s="9"/>
      <c r="V105">
        <v>1</v>
      </c>
      <c r="W105" t="s">
        <v>126</v>
      </c>
      <c r="X105">
        <v>2</v>
      </c>
      <c r="Y105" t="s">
        <v>119</v>
      </c>
      <c r="Z105">
        <v>4</v>
      </c>
      <c r="AA105" t="s">
        <v>130</v>
      </c>
      <c r="AC105" t="s">
        <v>175</v>
      </c>
      <c r="AE105" t="s">
        <v>175</v>
      </c>
      <c r="AG105" t="s">
        <v>175</v>
      </c>
      <c r="AI105" t="s">
        <v>175</v>
      </c>
      <c r="AO105" t="s">
        <v>126</v>
      </c>
      <c r="AP105" t="s">
        <v>119</v>
      </c>
      <c r="AQ105" t="s">
        <v>130</v>
      </c>
      <c r="AR105" t="s">
        <v>175</v>
      </c>
      <c r="AS105" t="s">
        <v>175</v>
      </c>
      <c r="AT105" t="s">
        <v>175</v>
      </c>
      <c r="AU105" t="s">
        <v>175</v>
      </c>
    </row>
    <row r="106" spans="2:47" x14ac:dyDescent="0.3">
      <c r="S106" s="9"/>
    </row>
  </sheetData>
  <autoFilter ref="AO2:AU105" xr:uid="{6DEF13B2-393C-470B-8518-9286CAA0B4A2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2140E-2549-4590-80C0-D7C046BA51D0}">
  <sheetPr codeName="Sheet3"/>
  <dimension ref="A1:Y172"/>
  <sheetViews>
    <sheetView tabSelected="1" workbookViewId="0">
      <pane ySplit="1" topLeftCell="A2" activePane="bottomLeft" state="frozen"/>
      <selection activeCell="D1" sqref="D1"/>
      <selection pane="bottomLeft" activeCell="B1" sqref="B1:B1048576"/>
    </sheetView>
  </sheetViews>
  <sheetFormatPr defaultRowHeight="14.4" x14ac:dyDescent="0.3"/>
  <cols>
    <col min="1" max="1" width="10.5546875" style="5" bestFit="1" customWidth="1"/>
    <col min="2" max="2" width="15" style="5" bestFit="1" customWidth="1"/>
    <col min="3" max="3" width="31.77734375" bestFit="1" customWidth="1"/>
    <col min="4" max="4" width="7.44140625" bestFit="1" customWidth="1"/>
    <col min="5" max="5" width="13.33203125" bestFit="1" customWidth="1"/>
    <col min="6" max="6" width="11.44140625" bestFit="1" customWidth="1"/>
    <col min="7" max="7" width="7.88671875" bestFit="1" customWidth="1"/>
    <col min="8" max="8" width="7.77734375" bestFit="1" customWidth="1"/>
    <col min="9" max="9" width="14.33203125" bestFit="1" customWidth="1"/>
    <col min="10" max="10" width="9.33203125" bestFit="1" customWidth="1"/>
    <col min="11" max="15" width="11.33203125" bestFit="1" customWidth="1"/>
    <col min="16" max="16" width="22.21875" bestFit="1" customWidth="1"/>
    <col min="17" max="17" width="20.33203125" bestFit="1" customWidth="1"/>
    <col min="18" max="18" width="7.6640625" bestFit="1" customWidth="1"/>
    <col min="19" max="19" width="6.109375" bestFit="1" customWidth="1"/>
    <col min="20" max="20" width="11.5546875" bestFit="1" customWidth="1"/>
    <col min="21" max="21" width="9.6640625" style="6" bestFit="1" customWidth="1"/>
    <col min="22" max="22" width="9.44140625" style="6" bestFit="1" customWidth="1"/>
    <col min="23" max="23" width="16.21875" bestFit="1" customWidth="1"/>
  </cols>
  <sheetData>
    <row r="1" spans="1:25" x14ac:dyDescent="0.3">
      <c r="A1" s="5" t="s">
        <v>0</v>
      </c>
      <c r="B1" s="5" t="s">
        <v>135</v>
      </c>
      <c r="C1" t="s">
        <v>118</v>
      </c>
      <c r="D1" t="s">
        <v>119</v>
      </c>
      <c r="E1" t="s">
        <v>120</v>
      </c>
      <c r="F1" t="s">
        <v>121</v>
      </c>
      <c r="G1" t="s">
        <v>124</v>
      </c>
      <c r="H1" t="s">
        <v>125</v>
      </c>
      <c r="I1" t="s">
        <v>126</v>
      </c>
      <c r="J1" t="s">
        <v>127</v>
      </c>
      <c r="K1" t="s">
        <v>40</v>
      </c>
      <c r="L1" t="s">
        <v>45</v>
      </c>
      <c r="M1" t="s">
        <v>128</v>
      </c>
      <c r="N1" t="s">
        <v>129</v>
      </c>
      <c r="O1" t="s">
        <v>40</v>
      </c>
      <c r="P1" t="s">
        <v>130</v>
      </c>
      <c r="Q1" t="s">
        <v>131</v>
      </c>
      <c r="R1" t="s">
        <v>122</v>
      </c>
      <c r="S1" t="s">
        <v>123</v>
      </c>
      <c r="T1" t="s">
        <v>132</v>
      </c>
      <c r="U1" s="6" t="s">
        <v>4</v>
      </c>
      <c r="V1" s="6" t="s">
        <v>5</v>
      </c>
      <c r="W1" s="1" t="s">
        <v>140</v>
      </c>
      <c r="X1" s="1"/>
      <c r="Y1" s="1"/>
    </row>
    <row r="2" spans="1:25" x14ac:dyDescent="0.3">
      <c r="A2" s="5">
        <v>45793</v>
      </c>
      <c r="B2" s="5">
        <v>45794</v>
      </c>
      <c r="C2" t="s">
        <v>139</v>
      </c>
      <c r="D2">
        <v>5</v>
      </c>
      <c r="E2">
        <v>10</v>
      </c>
      <c r="F2">
        <v>2</v>
      </c>
      <c r="J2">
        <v>1</v>
      </c>
      <c r="U2">
        <v>35000</v>
      </c>
      <c r="V2">
        <v>35000</v>
      </c>
    </row>
    <row r="3" spans="1:25" x14ac:dyDescent="0.3">
      <c r="A3" s="5">
        <v>45793</v>
      </c>
      <c r="B3" s="5">
        <v>45794</v>
      </c>
      <c r="C3" t="s">
        <v>141</v>
      </c>
      <c r="D3">
        <v>2</v>
      </c>
      <c r="E3">
        <v>2</v>
      </c>
      <c r="J3">
        <v>1</v>
      </c>
      <c r="R3">
        <v>1</v>
      </c>
    </row>
    <row r="4" spans="1:25" x14ac:dyDescent="0.3">
      <c r="A4" s="5">
        <v>45799</v>
      </c>
      <c r="B4" s="5">
        <v>45802</v>
      </c>
      <c r="C4" t="s">
        <v>142</v>
      </c>
      <c r="D4">
        <v>0.5</v>
      </c>
      <c r="E4">
        <v>2</v>
      </c>
      <c r="P4">
        <v>2</v>
      </c>
      <c r="U4" s="6">
        <v>3600</v>
      </c>
      <c r="V4" s="6">
        <v>3600</v>
      </c>
    </row>
    <row r="5" spans="1:25" x14ac:dyDescent="0.3">
      <c r="A5" s="5">
        <v>45799</v>
      </c>
      <c r="B5" s="5">
        <v>45799</v>
      </c>
      <c r="C5" t="s">
        <v>12</v>
      </c>
      <c r="D5">
        <v>15</v>
      </c>
      <c r="I5">
        <v>1</v>
      </c>
      <c r="P5">
        <v>3</v>
      </c>
      <c r="U5" s="6">
        <v>20000</v>
      </c>
      <c r="V5" s="6">
        <v>20000</v>
      </c>
    </row>
    <row r="6" spans="1:25" x14ac:dyDescent="0.3">
      <c r="A6" s="5">
        <v>45799</v>
      </c>
      <c r="B6" s="5">
        <v>45814</v>
      </c>
      <c r="C6" t="s">
        <v>143</v>
      </c>
      <c r="D6">
        <v>5</v>
      </c>
      <c r="E6">
        <v>20</v>
      </c>
      <c r="I6">
        <v>1</v>
      </c>
    </row>
    <row r="7" spans="1:25" x14ac:dyDescent="0.3">
      <c r="A7" s="5">
        <v>45799</v>
      </c>
      <c r="B7" s="5">
        <v>45814</v>
      </c>
      <c r="C7" t="s">
        <v>144</v>
      </c>
      <c r="D7">
        <v>5</v>
      </c>
      <c r="E7">
        <v>20</v>
      </c>
      <c r="I7">
        <v>1</v>
      </c>
      <c r="U7" s="6">
        <v>23750</v>
      </c>
      <c r="V7" s="6">
        <v>23750</v>
      </c>
    </row>
    <row r="8" spans="1:25" x14ac:dyDescent="0.3">
      <c r="A8" s="5">
        <v>45799</v>
      </c>
      <c r="B8" s="5">
        <v>45814</v>
      </c>
      <c r="C8" t="s">
        <v>144</v>
      </c>
      <c r="D8">
        <v>4</v>
      </c>
      <c r="I8">
        <v>2</v>
      </c>
      <c r="P8">
        <v>3</v>
      </c>
      <c r="U8" s="6">
        <v>25000</v>
      </c>
      <c r="V8" s="6">
        <v>25000</v>
      </c>
    </row>
    <row r="9" spans="1:25" x14ac:dyDescent="0.3">
      <c r="A9" s="5">
        <v>45802</v>
      </c>
      <c r="B9" s="5">
        <v>45807</v>
      </c>
      <c r="C9" t="s">
        <v>145</v>
      </c>
      <c r="D9">
        <v>2</v>
      </c>
      <c r="I9">
        <v>1</v>
      </c>
      <c r="U9" s="6">
        <v>12000</v>
      </c>
      <c r="V9" s="6">
        <v>12000</v>
      </c>
    </row>
    <row r="10" spans="1:25" x14ac:dyDescent="0.3">
      <c r="A10" s="5">
        <v>45799</v>
      </c>
      <c r="B10" s="5">
        <v>45814</v>
      </c>
      <c r="C10" t="s">
        <v>146</v>
      </c>
      <c r="D10">
        <v>1</v>
      </c>
      <c r="I10">
        <v>1</v>
      </c>
      <c r="U10" s="6">
        <v>12500</v>
      </c>
      <c r="V10" s="6">
        <v>12500</v>
      </c>
    </row>
    <row r="11" spans="1:25" x14ac:dyDescent="0.3">
      <c r="A11" s="5">
        <v>45805</v>
      </c>
      <c r="B11" s="5">
        <v>45814</v>
      </c>
      <c r="C11" t="s">
        <v>148</v>
      </c>
      <c r="D11">
        <v>3</v>
      </c>
      <c r="U11" s="6">
        <v>4500</v>
      </c>
      <c r="V11" s="6">
        <v>4500</v>
      </c>
    </row>
    <row r="12" spans="1:25" x14ac:dyDescent="0.3">
      <c r="A12" s="5">
        <v>45799</v>
      </c>
      <c r="B12" s="5">
        <v>45814</v>
      </c>
      <c r="C12" t="s">
        <v>147</v>
      </c>
      <c r="I12">
        <v>1</v>
      </c>
      <c r="U12" s="6">
        <v>7000</v>
      </c>
    </row>
    <row r="13" spans="1:25" x14ac:dyDescent="0.3">
      <c r="A13" s="5">
        <v>45806</v>
      </c>
      <c r="B13" s="5">
        <v>45815</v>
      </c>
      <c r="C13" t="s">
        <v>149</v>
      </c>
      <c r="D13">
        <v>6</v>
      </c>
      <c r="K13">
        <v>1</v>
      </c>
      <c r="P13">
        <v>20</v>
      </c>
      <c r="S13">
        <v>3</v>
      </c>
      <c r="U13" s="6">
        <v>130000</v>
      </c>
    </row>
    <row r="14" spans="1:25" x14ac:dyDescent="0.3">
      <c r="A14" s="5">
        <v>45806</v>
      </c>
      <c r="B14" s="5">
        <v>45783</v>
      </c>
      <c r="C14" t="s">
        <v>150</v>
      </c>
      <c r="D14">
        <v>5</v>
      </c>
      <c r="I14">
        <v>2</v>
      </c>
      <c r="P14">
        <v>3</v>
      </c>
      <c r="U14" s="6">
        <v>28000</v>
      </c>
      <c r="V14" s="6">
        <v>28000</v>
      </c>
    </row>
    <row r="15" spans="1:25" x14ac:dyDescent="0.3">
      <c r="A15" s="5">
        <v>45806</v>
      </c>
      <c r="B15" s="5">
        <v>45814</v>
      </c>
      <c r="C15" t="s">
        <v>151</v>
      </c>
      <c r="D15">
        <v>4</v>
      </c>
      <c r="U15" s="6">
        <v>8000</v>
      </c>
      <c r="V15" s="6">
        <v>8000</v>
      </c>
    </row>
    <row r="16" spans="1:25" x14ac:dyDescent="0.3">
      <c r="A16" s="5">
        <v>45806</v>
      </c>
      <c r="B16" s="5">
        <v>45814</v>
      </c>
      <c r="C16" t="s">
        <v>152</v>
      </c>
      <c r="D16">
        <v>1</v>
      </c>
      <c r="J16">
        <v>1</v>
      </c>
      <c r="U16" s="6">
        <v>20000</v>
      </c>
      <c r="V16" s="6">
        <v>20000</v>
      </c>
    </row>
    <row r="17" spans="1:23" x14ac:dyDescent="0.3">
      <c r="A17" s="5">
        <v>45806</v>
      </c>
      <c r="B17" s="5">
        <v>45814</v>
      </c>
      <c r="C17" t="s">
        <v>97</v>
      </c>
      <c r="D17">
        <v>4</v>
      </c>
      <c r="I17">
        <v>2</v>
      </c>
      <c r="P17">
        <v>3</v>
      </c>
      <c r="U17" s="6">
        <v>35000</v>
      </c>
      <c r="V17" s="6">
        <v>35000</v>
      </c>
    </row>
    <row r="18" spans="1:23" x14ac:dyDescent="0.3">
      <c r="A18" s="5">
        <v>45806</v>
      </c>
      <c r="B18" s="5">
        <v>45816</v>
      </c>
      <c r="C18" t="s">
        <v>153</v>
      </c>
      <c r="I18">
        <v>1</v>
      </c>
      <c r="J18">
        <v>2</v>
      </c>
      <c r="P18">
        <v>10</v>
      </c>
      <c r="S18">
        <v>8</v>
      </c>
      <c r="U18" s="6">
        <v>193000</v>
      </c>
      <c r="V18" s="6">
        <v>100000</v>
      </c>
      <c r="W18">
        <v>12</v>
      </c>
    </row>
    <row r="19" spans="1:23" x14ac:dyDescent="0.3">
      <c r="A19" s="5">
        <v>45807</v>
      </c>
      <c r="B19" s="5">
        <v>45814</v>
      </c>
      <c r="C19" t="s">
        <v>154</v>
      </c>
      <c r="D19">
        <v>5</v>
      </c>
      <c r="E19">
        <v>5</v>
      </c>
      <c r="J19">
        <v>1</v>
      </c>
      <c r="U19" s="6">
        <v>34000</v>
      </c>
      <c r="V19" s="6">
        <v>34000</v>
      </c>
    </row>
    <row r="20" spans="1:23" x14ac:dyDescent="0.3">
      <c r="A20" s="5">
        <v>45810</v>
      </c>
      <c r="B20" s="5">
        <v>45814</v>
      </c>
      <c r="C20" t="s">
        <v>139</v>
      </c>
      <c r="D20">
        <v>3</v>
      </c>
      <c r="I20">
        <v>1</v>
      </c>
      <c r="R20">
        <v>1</v>
      </c>
      <c r="U20" s="6">
        <v>7500</v>
      </c>
      <c r="V20" s="6">
        <v>7500</v>
      </c>
    </row>
    <row r="21" spans="1:23" x14ac:dyDescent="0.3">
      <c r="A21" s="5">
        <v>45810</v>
      </c>
      <c r="B21" s="5">
        <v>45814</v>
      </c>
      <c r="C21" t="s">
        <v>155</v>
      </c>
      <c r="J21">
        <v>1</v>
      </c>
      <c r="P21">
        <v>12</v>
      </c>
      <c r="R21">
        <v>2</v>
      </c>
      <c r="U21" s="6">
        <v>110000</v>
      </c>
      <c r="V21" s="6">
        <v>80000</v>
      </c>
      <c r="W21">
        <v>5</v>
      </c>
    </row>
    <row r="22" spans="1:23" x14ac:dyDescent="0.3">
      <c r="A22" s="5">
        <v>45810</v>
      </c>
      <c r="B22" s="5">
        <v>45817</v>
      </c>
      <c r="C22" t="s">
        <v>156</v>
      </c>
      <c r="D22">
        <v>4</v>
      </c>
      <c r="I22">
        <v>1</v>
      </c>
      <c r="J22">
        <v>1</v>
      </c>
      <c r="P22">
        <v>8</v>
      </c>
      <c r="R22">
        <v>2</v>
      </c>
      <c r="U22" s="6">
        <v>80000</v>
      </c>
      <c r="V22" s="6">
        <v>65000</v>
      </c>
    </row>
    <row r="23" spans="1:23" x14ac:dyDescent="0.3">
      <c r="A23" s="5">
        <v>45822</v>
      </c>
      <c r="B23" s="5">
        <v>45822</v>
      </c>
      <c r="C23" t="s">
        <v>113</v>
      </c>
      <c r="D23">
        <v>17</v>
      </c>
      <c r="E23">
        <v>73</v>
      </c>
      <c r="F23">
        <v>10</v>
      </c>
      <c r="U23" s="6">
        <v>82250</v>
      </c>
      <c r="V23" s="6">
        <v>82250</v>
      </c>
    </row>
    <row r="24" spans="1:23" x14ac:dyDescent="0.3">
      <c r="A24" s="5">
        <v>45822</v>
      </c>
      <c r="B24" s="5">
        <v>45822</v>
      </c>
      <c r="C24" t="s">
        <v>157</v>
      </c>
      <c r="D24">
        <v>12</v>
      </c>
      <c r="E24">
        <v>30</v>
      </c>
      <c r="G24">
        <v>2</v>
      </c>
      <c r="J24">
        <v>1</v>
      </c>
      <c r="K24">
        <v>1</v>
      </c>
      <c r="R24">
        <v>2</v>
      </c>
      <c r="U24" s="6">
        <v>117000</v>
      </c>
      <c r="V24" s="6">
        <v>117000</v>
      </c>
    </row>
    <row r="25" spans="1:23" x14ac:dyDescent="0.3">
      <c r="A25" s="5">
        <v>45827</v>
      </c>
      <c r="B25" s="5">
        <v>45827</v>
      </c>
      <c r="C25" t="s">
        <v>158</v>
      </c>
      <c r="I25">
        <v>1</v>
      </c>
      <c r="U25" s="6">
        <v>20000</v>
      </c>
      <c r="V25" s="6">
        <v>20000</v>
      </c>
    </row>
    <row r="26" spans="1:23" x14ac:dyDescent="0.3">
      <c r="A26" s="5">
        <v>45824</v>
      </c>
      <c r="B26" s="5">
        <v>45835</v>
      </c>
      <c r="C26" t="s">
        <v>159</v>
      </c>
      <c r="D26">
        <v>4</v>
      </c>
      <c r="I26">
        <v>1</v>
      </c>
      <c r="P26">
        <v>6</v>
      </c>
      <c r="U26" s="6">
        <v>10000</v>
      </c>
      <c r="V26" s="6">
        <v>10000</v>
      </c>
    </row>
    <row r="27" spans="1:23" x14ac:dyDescent="0.3">
      <c r="A27" s="5">
        <v>45828</v>
      </c>
      <c r="B27" s="5">
        <v>45829</v>
      </c>
      <c r="C27" t="s">
        <v>160</v>
      </c>
      <c r="E27">
        <v>8</v>
      </c>
      <c r="U27" s="6">
        <v>6000</v>
      </c>
      <c r="V27" s="6">
        <v>6000</v>
      </c>
    </row>
    <row r="28" spans="1:23" x14ac:dyDescent="0.3">
      <c r="A28" s="5">
        <v>45829</v>
      </c>
      <c r="B28" s="5">
        <v>45829</v>
      </c>
      <c r="C28" t="s">
        <v>143</v>
      </c>
      <c r="D28">
        <v>3</v>
      </c>
      <c r="E28">
        <v>4</v>
      </c>
      <c r="U28" s="6">
        <v>6500</v>
      </c>
      <c r="V28" s="6">
        <v>6500</v>
      </c>
    </row>
    <row r="29" spans="1:23" x14ac:dyDescent="0.3">
      <c r="A29" s="5">
        <v>45832</v>
      </c>
      <c r="B29" s="5">
        <v>45836</v>
      </c>
      <c r="C29" t="s">
        <v>113</v>
      </c>
      <c r="E29">
        <v>35</v>
      </c>
      <c r="F29">
        <v>6</v>
      </c>
      <c r="U29" s="6">
        <v>33000</v>
      </c>
      <c r="V29" s="6">
        <v>33000</v>
      </c>
    </row>
    <row r="30" spans="1:23" x14ac:dyDescent="0.3">
      <c r="A30" s="5">
        <v>45832</v>
      </c>
      <c r="B30" s="5">
        <v>45834</v>
      </c>
      <c r="C30" t="s">
        <v>161</v>
      </c>
      <c r="D30">
        <v>2</v>
      </c>
      <c r="I30">
        <v>1</v>
      </c>
      <c r="R30">
        <v>3</v>
      </c>
      <c r="U30" s="6">
        <v>15000</v>
      </c>
      <c r="V30" s="6">
        <v>15000</v>
      </c>
    </row>
    <row r="31" spans="1:23" x14ac:dyDescent="0.3">
      <c r="A31" s="5">
        <v>45832</v>
      </c>
      <c r="B31" s="5">
        <v>45832</v>
      </c>
      <c r="C31" t="s">
        <v>162</v>
      </c>
      <c r="D31">
        <v>1</v>
      </c>
      <c r="P31">
        <v>2</v>
      </c>
      <c r="U31" s="6">
        <v>3000</v>
      </c>
      <c r="V31" s="6">
        <v>3000</v>
      </c>
    </row>
    <row r="32" spans="1:23" x14ac:dyDescent="0.3">
      <c r="A32" s="5">
        <v>45836</v>
      </c>
      <c r="B32" s="5">
        <v>45837</v>
      </c>
      <c r="C32" t="s">
        <v>163</v>
      </c>
      <c r="J32">
        <v>1</v>
      </c>
      <c r="P32">
        <v>5</v>
      </c>
      <c r="U32" s="6">
        <v>50000</v>
      </c>
      <c r="V32" s="6">
        <v>50000</v>
      </c>
      <c r="W32">
        <v>4</v>
      </c>
    </row>
    <row r="33" spans="1:22" x14ac:dyDescent="0.3">
      <c r="A33" s="5">
        <v>45843</v>
      </c>
      <c r="B33" s="5">
        <v>45843</v>
      </c>
      <c r="C33" t="s">
        <v>164</v>
      </c>
      <c r="D33">
        <v>10</v>
      </c>
      <c r="E33">
        <v>34</v>
      </c>
      <c r="U33" s="6">
        <v>27000</v>
      </c>
      <c r="V33" s="6">
        <v>27000</v>
      </c>
    </row>
    <row r="34" spans="1:22" x14ac:dyDescent="0.3">
      <c r="A34" s="5">
        <v>45784</v>
      </c>
      <c r="B34" s="5">
        <v>45863</v>
      </c>
      <c r="C34" t="s">
        <v>165</v>
      </c>
      <c r="D34">
        <v>3</v>
      </c>
      <c r="U34" s="6">
        <v>5000</v>
      </c>
      <c r="V34" s="6">
        <v>4500</v>
      </c>
    </row>
    <row r="35" spans="1:22" x14ac:dyDescent="0.3">
      <c r="A35" s="5">
        <v>45860</v>
      </c>
      <c r="B35" s="5">
        <v>45861</v>
      </c>
      <c r="C35" t="s">
        <v>166</v>
      </c>
      <c r="D35">
        <v>4</v>
      </c>
      <c r="P35">
        <v>2</v>
      </c>
      <c r="U35" s="6">
        <v>14000</v>
      </c>
      <c r="V35" s="6">
        <v>14000</v>
      </c>
    </row>
    <row r="36" spans="1:22" x14ac:dyDescent="0.3">
      <c r="A36" s="5">
        <v>45860</v>
      </c>
      <c r="B36" s="5">
        <v>45860</v>
      </c>
      <c r="C36" t="s">
        <v>167</v>
      </c>
      <c r="D36">
        <v>15</v>
      </c>
      <c r="G36">
        <v>1</v>
      </c>
      <c r="K36">
        <v>1</v>
      </c>
      <c r="L36">
        <v>2</v>
      </c>
      <c r="U36" s="6">
        <v>154500</v>
      </c>
      <c r="V36" s="6">
        <v>154000</v>
      </c>
    </row>
    <row r="37" spans="1:22" x14ac:dyDescent="0.3">
      <c r="A37" s="5">
        <v>45860</v>
      </c>
      <c r="B37" s="5">
        <v>45861</v>
      </c>
      <c r="C37" t="s">
        <v>168</v>
      </c>
      <c r="P37">
        <v>4</v>
      </c>
      <c r="U37" s="6">
        <v>2000</v>
      </c>
      <c r="V37" s="6">
        <v>2000</v>
      </c>
    </row>
    <row r="38" spans="1:22" x14ac:dyDescent="0.3">
      <c r="A38" s="5">
        <v>45862</v>
      </c>
      <c r="B38" s="5">
        <v>45864</v>
      </c>
      <c r="C38" t="s">
        <v>169</v>
      </c>
      <c r="Q38">
        <v>17</v>
      </c>
      <c r="U38" s="6">
        <v>8500</v>
      </c>
      <c r="V38" s="6">
        <v>8500</v>
      </c>
    </row>
    <row r="39" spans="1:22" x14ac:dyDescent="0.3">
      <c r="A39" s="5">
        <v>45862</v>
      </c>
      <c r="B39" s="5">
        <v>45865</v>
      </c>
      <c r="C39" t="s">
        <v>170</v>
      </c>
      <c r="D39">
        <v>5</v>
      </c>
      <c r="J39">
        <v>1</v>
      </c>
      <c r="P39">
        <v>3</v>
      </c>
      <c r="U39" s="6">
        <v>29500</v>
      </c>
      <c r="V39" s="6">
        <v>29500</v>
      </c>
    </row>
    <row r="40" spans="1:22" x14ac:dyDescent="0.3">
      <c r="A40" s="5">
        <v>45863</v>
      </c>
      <c r="B40" s="5">
        <v>45865</v>
      </c>
      <c r="C40" t="s">
        <v>171</v>
      </c>
      <c r="D40">
        <v>40</v>
      </c>
      <c r="U40" s="6">
        <v>32000</v>
      </c>
      <c r="V40" s="6">
        <v>32000</v>
      </c>
    </row>
    <row r="41" spans="1:22" x14ac:dyDescent="0.3">
      <c r="A41" s="5">
        <v>45863</v>
      </c>
      <c r="B41" s="5">
        <v>45865</v>
      </c>
      <c r="C41" t="s">
        <v>172</v>
      </c>
      <c r="D41">
        <v>26</v>
      </c>
      <c r="U41" s="6">
        <v>26000</v>
      </c>
      <c r="V41" s="6">
        <v>26000</v>
      </c>
    </row>
    <row r="42" spans="1:22" x14ac:dyDescent="0.3">
      <c r="A42" s="5">
        <v>45876</v>
      </c>
      <c r="B42" s="5">
        <v>45878</v>
      </c>
      <c r="C42" t="s">
        <v>113</v>
      </c>
      <c r="D42">
        <v>12</v>
      </c>
      <c r="F42">
        <v>16</v>
      </c>
      <c r="U42" s="6">
        <v>8400</v>
      </c>
      <c r="V42" s="6">
        <v>8400</v>
      </c>
    </row>
    <row r="43" spans="1:22" x14ac:dyDescent="0.3">
      <c r="A43" s="5">
        <v>45877</v>
      </c>
      <c r="B43" s="5">
        <v>45878</v>
      </c>
      <c r="C43" t="s">
        <v>160</v>
      </c>
      <c r="E43">
        <v>17</v>
      </c>
      <c r="F43">
        <v>4</v>
      </c>
      <c r="S43">
        <v>4</v>
      </c>
      <c r="U43" s="6">
        <v>15000</v>
      </c>
      <c r="V43" s="6">
        <v>15000</v>
      </c>
    </row>
    <row r="44" spans="1:22" x14ac:dyDescent="0.3">
      <c r="A44" s="5">
        <v>45882</v>
      </c>
      <c r="B44" s="5">
        <v>45882</v>
      </c>
      <c r="C44" t="s">
        <v>173</v>
      </c>
      <c r="D44">
        <v>1</v>
      </c>
      <c r="E44">
        <v>2</v>
      </c>
      <c r="I44">
        <v>1</v>
      </c>
      <c r="U44" s="6">
        <v>15500</v>
      </c>
    </row>
    <row r="45" spans="1:22" x14ac:dyDescent="0.3">
      <c r="A45" s="5">
        <v>45885</v>
      </c>
      <c r="B45" s="5">
        <v>45886</v>
      </c>
      <c r="C45" t="s">
        <v>174</v>
      </c>
      <c r="D45">
        <v>10</v>
      </c>
      <c r="E45">
        <v>10</v>
      </c>
      <c r="I45">
        <v>1</v>
      </c>
      <c r="J45">
        <v>3</v>
      </c>
      <c r="U45" s="6">
        <v>60000</v>
      </c>
      <c r="V45" s="6">
        <v>50000</v>
      </c>
    </row>
    <row r="46" spans="1:22" x14ac:dyDescent="0.3">
      <c r="A46" s="5">
        <v>45579</v>
      </c>
      <c r="B46" s="5">
        <v>45580</v>
      </c>
      <c r="C46" t="s">
        <v>11</v>
      </c>
      <c r="D46">
        <v>3</v>
      </c>
      <c r="F46">
        <v>2</v>
      </c>
      <c r="J46">
        <v>1</v>
      </c>
      <c r="U46" s="6">
        <v>21500</v>
      </c>
      <c r="V46" s="6">
        <v>21500</v>
      </c>
    </row>
    <row r="47" spans="1:22" x14ac:dyDescent="0.3">
      <c r="A47" s="5">
        <v>45583</v>
      </c>
      <c r="B47" s="5">
        <v>45585</v>
      </c>
      <c r="C47" t="s">
        <v>12</v>
      </c>
      <c r="D47">
        <v>10</v>
      </c>
      <c r="E47">
        <v>2</v>
      </c>
      <c r="U47" s="6">
        <v>8000</v>
      </c>
      <c r="V47" s="6">
        <v>8000</v>
      </c>
    </row>
    <row r="48" spans="1:22" x14ac:dyDescent="0.3">
      <c r="A48" s="5">
        <v>45586</v>
      </c>
      <c r="B48" s="5">
        <v>45586</v>
      </c>
      <c r="C48" t="s">
        <v>13</v>
      </c>
      <c r="D48">
        <v>1</v>
      </c>
      <c r="E48">
        <v>1</v>
      </c>
      <c r="U48" s="6">
        <v>10500</v>
      </c>
      <c r="V48" s="6">
        <v>10500</v>
      </c>
    </row>
    <row r="49" spans="1:22" x14ac:dyDescent="0.3">
      <c r="A49" s="5">
        <v>45583</v>
      </c>
      <c r="B49" s="5">
        <v>45584</v>
      </c>
      <c r="C49" t="s">
        <v>14</v>
      </c>
      <c r="D49">
        <v>10</v>
      </c>
      <c r="E49">
        <v>2</v>
      </c>
      <c r="J49">
        <v>1</v>
      </c>
      <c r="U49" s="6">
        <v>0</v>
      </c>
      <c r="V49" s="6">
        <v>0</v>
      </c>
    </row>
    <row r="50" spans="1:22" x14ac:dyDescent="0.3">
      <c r="A50" s="5">
        <v>45589</v>
      </c>
      <c r="B50" s="5">
        <v>45604</v>
      </c>
      <c r="C50" t="s">
        <v>15</v>
      </c>
      <c r="D50">
        <v>2</v>
      </c>
      <c r="E50">
        <v>2</v>
      </c>
      <c r="I50">
        <v>1</v>
      </c>
      <c r="U50" s="6">
        <v>12000</v>
      </c>
      <c r="V50" s="6">
        <v>12000</v>
      </c>
    </row>
    <row r="51" spans="1:22" x14ac:dyDescent="0.3">
      <c r="A51" s="5">
        <v>45587</v>
      </c>
      <c r="B51" s="5">
        <v>45606</v>
      </c>
      <c r="C51" t="s">
        <v>16</v>
      </c>
      <c r="L51">
        <v>1</v>
      </c>
      <c r="U51" s="6">
        <v>150000</v>
      </c>
      <c r="V51" s="6">
        <v>150000</v>
      </c>
    </row>
    <row r="52" spans="1:22" x14ac:dyDescent="0.3">
      <c r="A52" s="5">
        <v>45625</v>
      </c>
      <c r="B52" s="5">
        <v>45626</v>
      </c>
      <c r="C52" t="s">
        <v>17</v>
      </c>
      <c r="D52">
        <v>7</v>
      </c>
      <c r="U52" s="6">
        <v>0</v>
      </c>
      <c r="V52" s="6">
        <v>3500</v>
      </c>
    </row>
    <row r="53" spans="1:22" x14ac:dyDescent="0.3">
      <c r="A53" s="5">
        <v>45625</v>
      </c>
      <c r="B53" s="5">
        <v>45626</v>
      </c>
      <c r="C53" t="s">
        <v>18</v>
      </c>
      <c r="D53">
        <v>6</v>
      </c>
      <c r="E53">
        <v>8</v>
      </c>
      <c r="F53">
        <v>1</v>
      </c>
      <c r="R53">
        <v>2</v>
      </c>
      <c r="U53" s="6">
        <v>0</v>
      </c>
      <c r="V53" s="6">
        <v>10000</v>
      </c>
    </row>
    <row r="54" spans="1:22" x14ac:dyDescent="0.3">
      <c r="A54" s="5">
        <v>45625</v>
      </c>
      <c r="B54" s="5">
        <v>45626</v>
      </c>
      <c r="C54" t="s">
        <v>19</v>
      </c>
      <c r="D54">
        <v>7</v>
      </c>
      <c r="U54" s="6">
        <v>5000</v>
      </c>
      <c r="V54" s="6">
        <v>5000</v>
      </c>
    </row>
    <row r="55" spans="1:22" x14ac:dyDescent="0.3">
      <c r="A55" s="5">
        <v>45625</v>
      </c>
      <c r="B55" s="5">
        <v>45625</v>
      </c>
      <c r="C55" t="s">
        <v>20</v>
      </c>
      <c r="D55">
        <v>25</v>
      </c>
      <c r="U55" s="6">
        <v>0</v>
      </c>
      <c r="V55" s="6">
        <v>15000</v>
      </c>
    </row>
    <row r="56" spans="1:22" x14ac:dyDescent="0.3">
      <c r="A56" s="5">
        <v>45626</v>
      </c>
      <c r="B56" s="5">
        <v>45626</v>
      </c>
      <c r="C56" t="s">
        <v>21</v>
      </c>
      <c r="D56">
        <v>25</v>
      </c>
      <c r="U56" s="6">
        <v>25000</v>
      </c>
      <c r="V56" s="6">
        <v>25000</v>
      </c>
    </row>
    <row r="57" spans="1:22" x14ac:dyDescent="0.3">
      <c r="A57" s="5">
        <v>45626</v>
      </c>
      <c r="B57" s="5">
        <v>45640</v>
      </c>
      <c r="C57" t="s">
        <v>22</v>
      </c>
      <c r="D57">
        <v>8</v>
      </c>
      <c r="E57">
        <v>5</v>
      </c>
      <c r="J57">
        <v>2</v>
      </c>
      <c r="U57" s="6">
        <v>46000</v>
      </c>
      <c r="V57" s="6">
        <v>40000</v>
      </c>
    </row>
    <row r="58" spans="1:22" x14ac:dyDescent="0.3">
      <c r="A58" s="5">
        <v>45424</v>
      </c>
      <c r="B58" s="5">
        <v>45654</v>
      </c>
      <c r="C58" t="s">
        <v>23</v>
      </c>
      <c r="D58">
        <v>5</v>
      </c>
      <c r="E58">
        <v>8</v>
      </c>
      <c r="J58">
        <v>1</v>
      </c>
      <c r="U58" s="6">
        <v>28000</v>
      </c>
      <c r="V58" s="6">
        <v>20000</v>
      </c>
    </row>
    <row r="59" spans="1:22" x14ac:dyDescent="0.3">
      <c r="A59" s="5">
        <v>45455</v>
      </c>
      <c r="B59" s="5">
        <v>45654</v>
      </c>
      <c r="C59" t="s">
        <v>24</v>
      </c>
      <c r="D59">
        <v>5</v>
      </c>
      <c r="J59">
        <v>1</v>
      </c>
      <c r="P59">
        <v>2</v>
      </c>
      <c r="R59">
        <v>1</v>
      </c>
      <c r="U59" s="6">
        <v>37500</v>
      </c>
      <c r="V59" s="6">
        <v>37500</v>
      </c>
    </row>
    <row r="60" spans="1:22" x14ac:dyDescent="0.3">
      <c r="A60" s="5">
        <v>45577</v>
      </c>
      <c r="B60" s="5">
        <v>46005</v>
      </c>
      <c r="C60" t="s">
        <v>25</v>
      </c>
      <c r="D60">
        <v>3</v>
      </c>
      <c r="E60">
        <v>4</v>
      </c>
      <c r="U60" s="6">
        <v>0</v>
      </c>
      <c r="V60" s="6">
        <v>13500</v>
      </c>
    </row>
    <row r="61" spans="1:22" x14ac:dyDescent="0.3">
      <c r="A61" s="5">
        <v>45577</v>
      </c>
      <c r="B61" s="5">
        <v>45577</v>
      </c>
      <c r="C61" t="s">
        <v>26</v>
      </c>
      <c r="G61">
        <v>1</v>
      </c>
      <c r="J61">
        <v>2</v>
      </c>
      <c r="U61" s="6">
        <v>60000</v>
      </c>
      <c r="V61" s="6">
        <v>60000</v>
      </c>
    </row>
    <row r="62" spans="1:22" x14ac:dyDescent="0.3">
      <c r="A62" s="5">
        <v>45642</v>
      </c>
      <c r="B62" s="5">
        <v>45647</v>
      </c>
      <c r="C62" t="s">
        <v>27</v>
      </c>
      <c r="D62">
        <v>6</v>
      </c>
      <c r="E62">
        <v>2</v>
      </c>
      <c r="I62">
        <v>1</v>
      </c>
      <c r="U62" s="6">
        <v>20000</v>
      </c>
      <c r="V62" s="6">
        <v>20000</v>
      </c>
    </row>
    <row r="63" spans="1:22" x14ac:dyDescent="0.3">
      <c r="A63" s="5">
        <v>45642</v>
      </c>
      <c r="B63" s="5">
        <v>45682</v>
      </c>
      <c r="C63" t="s">
        <v>28</v>
      </c>
      <c r="U63" s="6">
        <v>400000</v>
      </c>
      <c r="V63" s="6">
        <v>400000</v>
      </c>
    </row>
    <row r="64" spans="1:22" x14ac:dyDescent="0.3">
      <c r="A64" s="5">
        <v>45642</v>
      </c>
      <c r="B64" s="5">
        <v>45649</v>
      </c>
      <c r="C64" t="s">
        <v>29</v>
      </c>
      <c r="D64">
        <v>4</v>
      </c>
      <c r="I64">
        <v>2</v>
      </c>
      <c r="U64" s="6">
        <v>28000</v>
      </c>
      <c r="V64" s="6">
        <v>28000</v>
      </c>
    </row>
    <row r="65" spans="1:23" x14ac:dyDescent="0.3">
      <c r="A65" s="5">
        <v>45643</v>
      </c>
      <c r="B65" s="5">
        <v>45649</v>
      </c>
      <c r="C65" t="s">
        <v>30</v>
      </c>
      <c r="D65">
        <v>10</v>
      </c>
      <c r="I65">
        <v>1</v>
      </c>
      <c r="Q65">
        <v>6</v>
      </c>
      <c r="U65" s="6">
        <v>22000</v>
      </c>
      <c r="V65" s="6">
        <v>22000</v>
      </c>
    </row>
    <row r="66" spans="1:23" x14ac:dyDescent="0.3">
      <c r="A66" s="5">
        <v>45646</v>
      </c>
      <c r="B66" s="5">
        <v>45646</v>
      </c>
      <c r="C66" t="s">
        <v>31</v>
      </c>
      <c r="D66">
        <v>3</v>
      </c>
      <c r="R66">
        <v>1</v>
      </c>
      <c r="U66" s="6">
        <v>8000</v>
      </c>
      <c r="V66" s="6">
        <v>8000</v>
      </c>
    </row>
    <row r="67" spans="1:23" x14ac:dyDescent="0.3">
      <c r="A67" s="5">
        <v>45646</v>
      </c>
      <c r="B67" s="5">
        <v>45651</v>
      </c>
      <c r="C67" t="s">
        <v>15</v>
      </c>
      <c r="D67">
        <v>2</v>
      </c>
      <c r="I67">
        <v>1</v>
      </c>
      <c r="P67">
        <v>3</v>
      </c>
      <c r="U67" s="6">
        <v>12000</v>
      </c>
      <c r="V67" s="6">
        <v>12000</v>
      </c>
    </row>
    <row r="68" spans="1:23" x14ac:dyDescent="0.3">
      <c r="A68" s="5">
        <v>45646</v>
      </c>
      <c r="B68" s="5">
        <v>45654</v>
      </c>
      <c r="C68" t="s">
        <v>32</v>
      </c>
      <c r="D68">
        <v>4</v>
      </c>
      <c r="I68">
        <v>2</v>
      </c>
      <c r="P68">
        <v>4</v>
      </c>
      <c r="U68" s="6">
        <v>29000</v>
      </c>
      <c r="V68" s="6">
        <v>29000</v>
      </c>
    </row>
    <row r="69" spans="1:23" x14ac:dyDescent="0.3">
      <c r="A69" s="5">
        <v>45646</v>
      </c>
      <c r="B69" s="5">
        <v>45654</v>
      </c>
      <c r="C69" t="s">
        <v>33</v>
      </c>
      <c r="D69">
        <v>4</v>
      </c>
      <c r="I69">
        <v>2</v>
      </c>
      <c r="P69">
        <v>4</v>
      </c>
      <c r="U69" s="6">
        <v>37000</v>
      </c>
      <c r="V69" s="6">
        <v>37000</v>
      </c>
    </row>
    <row r="70" spans="1:23" x14ac:dyDescent="0.3">
      <c r="A70" s="5">
        <v>45648</v>
      </c>
      <c r="B70" s="5">
        <v>45658</v>
      </c>
      <c r="C70" t="s">
        <v>34</v>
      </c>
      <c r="D70">
        <v>5</v>
      </c>
      <c r="E70">
        <v>12</v>
      </c>
      <c r="J70">
        <v>1</v>
      </c>
      <c r="U70" s="6">
        <v>35000</v>
      </c>
      <c r="V70" s="6">
        <v>35000</v>
      </c>
    </row>
    <row r="71" spans="1:23" x14ac:dyDescent="0.3">
      <c r="A71" s="5">
        <v>45652</v>
      </c>
      <c r="B71" s="5">
        <v>45653</v>
      </c>
      <c r="C71" t="s">
        <v>35</v>
      </c>
      <c r="D71">
        <v>2</v>
      </c>
      <c r="P71">
        <v>2</v>
      </c>
      <c r="U71" s="6">
        <v>6500</v>
      </c>
      <c r="V71" s="6">
        <v>6500</v>
      </c>
    </row>
    <row r="72" spans="1:23" x14ac:dyDescent="0.3">
      <c r="A72" s="5">
        <v>45653</v>
      </c>
      <c r="B72" s="5">
        <v>45653</v>
      </c>
      <c r="C72" t="s">
        <v>36</v>
      </c>
      <c r="E72">
        <v>2</v>
      </c>
      <c r="J72">
        <v>2</v>
      </c>
      <c r="U72" s="6">
        <v>0</v>
      </c>
      <c r="V72" s="6">
        <v>0</v>
      </c>
    </row>
    <row r="73" spans="1:23" x14ac:dyDescent="0.3">
      <c r="A73" s="5">
        <v>45666</v>
      </c>
      <c r="B73" s="5">
        <v>45676</v>
      </c>
      <c r="C73" t="s">
        <v>38</v>
      </c>
      <c r="D73">
        <v>3</v>
      </c>
      <c r="I73">
        <v>1</v>
      </c>
      <c r="P73">
        <v>3</v>
      </c>
      <c r="U73" s="6">
        <v>0</v>
      </c>
      <c r="V73" s="6">
        <v>10000</v>
      </c>
    </row>
    <row r="74" spans="1:23" x14ac:dyDescent="0.3">
      <c r="A74" s="5">
        <v>45666</v>
      </c>
      <c r="B74" s="5">
        <v>45962</v>
      </c>
      <c r="C74" t="s">
        <v>39</v>
      </c>
      <c r="K74">
        <v>1</v>
      </c>
      <c r="U74" s="6">
        <v>0</v>
      </c>
      <c r="V74" s="6">
        <v>7000</v>
      </c>
    </row>
    <row r="75" spans="1:23" x14ac:dyDescent="0.3">
      <c r="A75" s="5">
        <v>45676</v>
      </c>
      <c r="B75" s="5">
        <v>45703</v>
      </c>
      <c r="C75" t="s">
        <v>41</v>
      </c>
      <c r="E75">
        <v>20</v>
      </c>
      <c r="M75">
        <v>1</v>
      </c>
      <c r="U75" s="6">
        <v>30000</v>
      </c>
      <c r="V75" s="6">
        <v>30000</v>
      </c>
    </row>
    <row r="76" spans="1:23" x14ac:dyDescent="0.3">
      <c r="A76" s="5">
        <v>45682</v>
      </c>
      <c r="B76" s="5">
        <v>45660</v>
      </c>
      <c r="C76" t="s">
        <v>42</v>
      </c>
      <c r="D76">
        <v>15</v>
      </c>
      <c r="K76">
        <v>1</v>
      </c>
      <c r="Q76">
        <v>4</v>
      </c>
      <c r="U76" s="6">
        <v>64000</v>
      </c>
      <c r="V76" s="6">
        <v>64000</v>
      </c>
      <c r="W76">
        <v>6</v>
      </c>
    </row>
    <row r="77" spans="1:23" x14ac:dyDescent="0.3">
      <c r="A77" s="5">
        <v>45686</v>
      </c>
      <c r="B77" s="5">
        <v>45687</v>
      </c>
      <c r="C77" t="s">
        <v>43</v>
      </c>
      <c r="D77">
        <v>16</v>
      </c>
      <c r="I77">
        <v>1</v>
      </c>
      <c r="J77">
        <v>2</v>
      </c>
      <c r="U77" s="6">
        <v>0</v>
      </c>
      <c r="V77" s="6">
        <v>62700</v>
      </c>
    </row>
    <row r="78" spans="1:23" x14ac:dyDescent="0.3">
      <c r="A78" s="5">
        <v>45690</v>
      </c>
      <c r="B78" s="5">
        <v>45690</v>
      </c>
      <c r="C78" t="s">
        <v>44</v>
      </c>
      <c r="E78">
        <v>16</v>
      </c>
      <c r="I78">
        <v>2</v>
      </c>
      <c r="J78">
        <v>1</v>
      </c>
      <c r="R78">
        <v>3</v>
      </c>
      <c r="S78">
        <v>6</v>
      </c>
      <c r="U78" s="6">
        <v>80000</v>
      </c>
      <c r="V78" s="6">
        <v>80000</v>
      </c>
      <c r="W78">
        <v>6</v>
      </c>
    </row>
    <row r="79" spans="1:23" x14ac:dyDescent="0.3">
      <c r="A79" s="5">
        <v>45691</v>
      </c>
      <c r="B79" s="5">
        <v>45691</v>
      </c>
      <c r="C79" t="s">
        <v>46</v>
      </c>
      <c r="P79">
        <v>5</v>
      </c>
      <c r="R79">
        <v>1</v>
      </c>
      <c r="U79" s="6">
        <v>25000</v>
      </c>
      <c r="V79" s="6">
        <v>25000</v>
      </c>
      <c r="W79">
        <v>5</v>
      </c>
    </row>
    <row r="80" spans="1:23" x14ac:dyDescent="0.3">
      <c r="A80" s="5">
        <v>45693</v>
      </c>
      <c r="B80" s="5">
        <v>45693</v>
      </c>
      <c r="C80" t="s">
        <v>47</v>
      </c>
      <c r="D80">
        <v>8</v>
      </c>
      <c r="I80">
        <v>1</v>
      </c>
      <c r="P80">
        <v>4</v>
      </c>
      <c r="U80" s="6">
        <v>20000</v>
      </c>
      <c r="V80" s="6">
        <v>10000</v>
      </c>
    </row>
    <row r="81" spans="1:23" x14ac:dyDescent="0.3">
      <c r="A81" s="5">
        <v>45695</v>
      </c>
      <c r="B81" s="5">
        <v>45695</v>
      </c>
      <c r="C81" t="s">
        <v>48</v>
      </c>
      <c r="D81">
        <v>2</v>
      </c>
      <c r="P81">
        <v>1</v>
      </c>
      <c r="U81" s="6">
        <v>5500</v>
      </c>
      <c r="V81" s="6">
        <v>5500</v>
      </c>
    </row>
    <row r="82" spans="1:23" x14ac:dyDescent="0.3">
      <c r="A82" s="5">
        <v>45695</v>
      </c>
      <c r="B82" s="5">
        <v>45697</v>
      </c>
      <c r="C82" t="s">
        <v>49</v>
      </c>
      <c r="D82">
        <v>5</v>
      </c>
      <c r="E82">
        <v>10</v>
      </c>
      <c r="F82">
        <v>2</v>
      </c>
      <c r="J82">
        <v>1</v>
      </c>
      <c r="R82">
        <v>1</v>
      </c>
      <c r="U82" s="6">
        <v>35000</v>
      </c>
      <c r="V82" s="6">
        <v>0</v>
      </c>
    </row>
    <row r="83" spans="1:23" x14ac:dyDescent="0.3">
      <c r="A83" s="5">
        <v>45696</v>
      </c>
      <c r="B83" s="5">
        <v>45703</v>
      </c>
      <c r="C83" t="s">
        <v>50</v>
      </c>
      <c r="D83">
        <v>9</v>
      </c>
      <c r="E83">
        <v>12</v>
      </c>
      <c r="K83">
        <v>1</v>
      </c>
      <c r="Q83">
        <v>2</v>
      </c>
      <c r="R83">
        <v>2</v>
      </c>
      <c r="U83" s="6">
        <v>69000</v>
      </c>
      <c r="V83" s="6">
        <v>45000</v>
      </c>
    </row>
    <row r="84" spans="1:23" x14ac:dyDescent="0.3">
      <c r="A84" s="5">
        <v>45697</v>
      </c>
      <c r="B84" s="5">
        <v>45697</v>
      </c>
      <c r="C84" t="s">
        <v>51</v>
      </c>
      <c r="D84">
        <v>7</v>
      </c>
      <c r="E84">
        <v>11</v>
      </c>
      <c r="F84">
        <v>3</v>
      </c>
      <c r="U84" s="6">
        <v>13500</v>
      </c>
      <c r="V84" s="6">
        <v>12000</v>
      </c>
    </row>
    <row r="85" spans="1:23" x14ac:dyDescent="0.3">
      <c r="A85" s="5">
        <v>45697</v>
      </c>
      <c r="B85" s="5">
        <v>45697</v>
      </c>
      <c r="C85" t="s">
        <v>52</v>
      </c>
      <c r="D85">
        <v>3</v>
      </c>
      <c r="I85">
        <v>1</v>
      </c>
      <c r="U85" s="6">
        <v>16000</v>
      </c>
      <c r="V85" s="6">
        <v>16000</v>
      </c>
    </row>
    <row r="86" spans="1:23" x14ac:dyDescent="0.3">
      <c r="A86" s="5">
        <v>45697</v>
      </c>
      <c r="B86" s="5">
        <v>45711</v>
      </c>
      <c r="C86" t="s">
        <v>53</v>
      </c>
      <c r="D86">
        <v>13</v>
      </c>
      <c r="E86">
        <v>20</v>
      </c>
      <c r="F86">
        <v>2</v>
      </c>
      <c r="I86">
        <v>1</v>
      </c>
      <c r="K86">
        <v>1</v>
      </c>
      <c r="S86">
        <v>3</v>
      </c>
      <c r="U86" s="6">
        <v>100000</v>
      </c>
      <c r="V86" s="6">
        <v>100000</v>
      </c>
    </row>
    <row r="87" spans="1:23" x14ac:dyDescent="0.3">
      <c r="A87" s="5">
        <v>45700</v>
      </c>
      <c r="B87" s="5">
        <v>45704</v>
      </c>
      <c r="C87" t="s">
        <v>54</v>
      </c>
      <c r="K87">
        <v>1</v>
      </c>
      <c r="P87">
        <v>20</v>
      </c>
      <c r="U87" s="6">
        <v>130000</v>
      </c>
      <c r="V87" s="6">
        <v>130000</v>
      </c>
      <c r="W87">
        <v>60</v>
      </c>
    </row>
    <row r="88" spans="1:23" x14ac:dyDescent="0.3">
      <c r="A88" s="5">
        <v>45700</v>
      </c>
      <c r="B88" s="5">
        <v>45703</v>
      </c>
      <c r="C88" t="s">
        <v>55</v>
      </c>
      <c r="I88">
        <v>1</v>
      </c>
      <c r="J88">
        <v>1</v>
      </c>
      <c r="P88">
        <v>16</v>
      </c>
      <c r="U88" s="6">
        <v>68600</v>
      </c>
      <c r="V88" s="6">
        <v>58000</v>
      </c>
      <c r="W88">
        <v>10</v>
      </c>
    </row>
    <row r="89" spans="1:23" x14ac:dyDescent="0.3">
      <c r="A89" s="5">
        <v>45703</v>
      </c>
      <c r="B89" s="5">
        <v>45704</v>
      </c>
      <c r="C89" t="s">
        <v>56</v>
      </c>
      <c r="D89">
        <v>2</v>
      </c>
      <c r="I89">
        <v>1</v>
      </c>
      <c r="U89" s="6">
        <v>15000</v>
      </c>
      <c r="V89" s="6">
        <v>14000</v>
      </c>
    </row>
    <row r="90" spans="1:23" x14ac:dyDescent="0.3">
      <c r="A90" s="5">
        <v>45703</v>
      </c>
      <c r="B90" s="5">
        <v>45703</v>
      </c>
      <c r="C90" t="s">
        <v>57</v>
      </c>
      <c r="I90">
        <v>1</v>
      </c>
      <c r="U90" s="6">
        <v>10000</v>
      </c>
      <c r="V90" s="6">
        <v>10000</v>
      </c>
    </row>
    <row r="91" spans="1:23" x14ac:dyDescent="0.3">
      <c r="A91" s="5">
        <v>45703</v>
      </c>
      <c r="B91" s="5">
        <v>45717</v>
      </c>
      <c r="C91" t="s">
        <v>59</v>
      </c>
      <c r="D91">
        <v>12</v>
      </c>
      <c r="E91">
        <v>4</v>
      </c>
      <c r="I91">
        <v>1</v>
      </c>
      <c r="J91">
        <v>2</v>
      </c>
      <c r="U91" s="6">
        <v>60000</v>
      </c>
      <c r="V91" s="6">
        <v>60000</v>
      </c>
    </row>
    <row r="92" spans="1:23" x14ac:dyDescent="0.3">
      <c r="A92" s="5">
        <v>45702</v>
      </c>
      <c r="B92" s="5">
        <v>45708</v>
      </c>
      <c r="C92" t="s">
        <v>60</v>
      </c>
      <c r="D92">
        <v>12</v>
      </c>
      <c r="E92">
        <v>20</v>
      </c>
      <c r="R92">
        <v>2</v>
      </c>
      <c r="S92">
        <v>2</v>
      </c>
      <c r="U92" s="6">
        <v>66000</v>
      </c>
      <c r="V92" s="6">
        <v>40000</v>
      </c>
    </row>
    <row r="93" spans="1:23" x14ac:dyDescent="0.3">
      <c r="A93" s="5">
        <v>45705</v>
      </c>
      <c r="B93" s="5">
        <v>45706</v>
      </c>
      <c r="C93" t="s">
        <v>61</v>
      </c>
      <c r="J93">
        <v>1</v>
      </c>
      <c r="U93" s="6">
        <v>15000</v>
      </c>
    </row>
    <row r="94" spans="1:23" x14ac:dyDescent="0.3">
      <c r="A94" s="5">
        <v>45708</v>
      </c>
      <c r="B94" s="5">
        <v>45710</v>
      </c>
      <c r="C94" t="s">
        <v>63</v>
      </c>
      <c r="S94">
        <v>3</v>
      </c>
      <c r="U94" s="6">
        <v>4500</v>
      </c>
      <c r="V94" s="6">
        <v>4500</v>
      </c>
    </row>
    <row r="95" spans="1:23" x14ac:dyDescent="0.3">
      <c r="A95" s="5">
        <v>45709</v>
      </c>
      <c r="B95" s="5">
        <v>45710</v>
      </c>
      <c r="C95" t="s">
        <v>65</v>
      </c>
      <c r="E95">
        <v>80</v>
      </c>
      <c r="U95" s="6">
        <v>40000</v>
      </c>
      <c r="V95" s="6">
        <v>40000</v>
      </c>
    </row>
    <row r="96" spans="1:23" x14ac:dyDescent="0.3">
      <c r="A96" s="5">
        <v>45709</v>
      </c>
      <c r="B96" s="5">
        <v>45712</v>
      </c>
      <c r="C96" t="s">
        <v>67</v>
      </c>
      <c r="E96">
        <v>24</v>
      </c>
      <c r="J96">
        <v>2</v>
      </c>
      <c r="S96">
        <v>3</v>
      </c>
      <c r="U96" s="6">
        <v>100000</v>
      </c>
      <c r="V96" s="6">
        <v>100000</v>
      </c>
      <c r="W96">
        <v>10</v>
      </c>
    </row>
    <row r="97" spans="1:23" x14ac:dyDescent="0.3">
      <c r="A97" s="5">
        <v>45709</v>
      </c>
      <c r="B97" s="5">
        <v>45710</v>
      </c>
      <c r="C97" t="s">
        <v>39</v>
      </c>
      <c r="D97">
        <v>12</v>
      </c>
      <c r="E97">
        <v>11</v>
      </c>
      <c r="F97">
        <v>5</v>
      </c>
      <c r="U97" s="6">
        <v>19000</v>
      </c>
      <c r="V97" s="6">
        <v>17000</v>
      </c>
    </row>
    <row r="98" spans="1:23" x14ac:dyDescent="0.3">
      <c r="A98" s="5">
        <v>45709</v>
      </c>
      <c r="B98" s="5">
        <v>45710</v>
      </c>
      <c r="C98" t="s">
        <v>68</v>
      </c>
      <c r="D98">
        <v>9</v>
      </c>
      <c r="K98">
        <v>1</v>
      </c>
      <c r="U98" s="6">
        <v>45000</v>
      </c>
      <c r="V98" s="6">
        <v>45000</v>
      </c>
    </row>
    <row r="99" spans="1:23" x14ac:dyDescent="0.3">
      <c r="A99" s="5">
        <v>45709</v>
      </c>
      <c r="B99" s="5">
        <v>45710</v>
      </c>
      <c r="C99" t="s">
        <v>69</v>
      </c>
      <c r="D99">
        <v>3</v>
      </c>
      <c r="I99">
        <v>1</v>
      </c>
      <c r="P99">
        <v>3</v>
      </c>
      <c r="U99" s="6">
        <v>22000</v>
      </c>
      <c r="V99" s="6">
        <v>20000</v>
      </c>
    </row>
    <row r="100" spans="1:23" x14ac:dyDescent="0.3">
      <c r="A100" s="5">
        <v>45711</v>
      </c>
      <c r="B100" s="5">
        <v>45711</v>
      </c>
      <c r="C100" t="s">
        <v>70</v>
      </c>
      <c r="R100">
        <v>2</v>
      </c>
      <c r="U100" s="6">
        <v>3000</v>
      </c>
      <c r="V100" s="6">
        <v>3000</v>
      </c>
    </row>
    <row r="101" spans="1:23" x14ac:dyDescent="0.3">
      <c r="A101" s="5">
        <v>45711</v>
      </c>
      <c r="B101" s="5">
        <v>45711</v>
      </c>
      <c r="C101" t="s">
        <v>72</v>
      </c>
      <c r="D101">
        <v>7</v>
      </c>
      <c r="J101">
        <v>1</v>
      </c>
      <c r="P101">
        <v>4</v>
      </c>
      <c r="U101" s="6">
        <v>15000</v>
      </c>
      <c r="V101" s="6">
        <v>15000</v>
      </c>
    </row>
    <row r="102" spans="1:23" x14ac:dyDescent="0.3">
      <c r="A102" s="5">
        <v>45711</v>
      </c>
      <c r="B102" s="5">
        <v>45711</v>
      </c>
      <c r="C102" t="s">
        <v>73</v>
      </c>
      <c r="D102">
        <v>3</v>
      </c>
      <c r="U102" s="6">
        <v>6000</v>
      </c>
      <c r="V102" s="6">
        <v>6000</v>
      </c>
    </row>
    <row r="103" spans="1:23" x14ac:dyDescent="0.3">
      <c r="A103" s="5">
        <v>45715</v>
      </c>
      <c r="B103" s="5">
        <v>45715</v>
      </c>
      <c r="C103" t="s">
        <v>74</v>
      </c>
      <c r="I103">
        <v>1</v>
      </c>
      <c r="P103">
        <v>4</v>
      </c>
      <c r="U103" s="6">
        <v>26600</v>
      </c>
      <c r="V103" s="6">
        <v>26600</v>
      </c>
      <c r="W103">
        <v>2</v>
      </c>
    </row>
    <row r="104" spans="1:23" x14ac:dyDescent="0.3">
      <c r="A104" s="5">
        <v>45715</v>
      </c>
      <c r="B104" s="5">
        <v>45715</v>
      </c>
      <c r="C104" t="s">
        <v>75</v>
      </c>
      <c r="D104">
        <v>3</v>
      </c>
      <c r="I104">
        <v>1</v>
      </c>
      <c r="P104">
        <v>3</v>
      </c>
      <c r="U104" s="6">
        <v>17000</v>
      </c>
      <c r="V104" s="6">
        <v>17000</v>
      </c>
    </row>
    <row r="105" spans="1:23" x14ac:dyDescent="0.3">
      <c r="A105" s="5">
        <v>45715</v>
      </c>
      <c r="B105" s="5">
        <v>45736</v>
      </c>
      <c r="C105" t="s">
        <v>76</v>
      </c>
      <c r="D105">
        <v>25</v>
      </c>
      <c r="I105">
        <v>1</v>
      </c>
      <c r="J105">
        <v>5</v>
      </c>
      <c r="U105" s="6">
        <v>100000</v>
      </c>
      <c r="V105" s="6">
        <v>100000</v>
      </c>
    </row>
    <row r="106" spans="1:23" x14ac:dyDescent="0.3">
      <c r="A106" s="5">
        <v>45715</v>
      </c>
      <c r="B106" s="5">
        <v>45720</v>
      </c>
      <c r="C106" t="s">
        <v>77</v>
      </c>
      <c r="D106">
        <v>5</v>
      </c>
      <c r="I106">
        <v>1</v>
      </c>
      <c r="J106">
        <v>1</v>
      </c>
      <c r="U106" s="6">
        <v>35000</v>
      </c>
      <c r="V106" s="6">
        <v>33000</v>
      </c>
    </row>
    <row r="107" spans="1:23" x14ac:dyDescent="0.3">
      <c r="A107" s="5">
        <v>45718</v>
      </c>
      <c r="B107" s="5">
        <v>45718</v>
      </c>
      <c r="C107" t="s">
        <v>78</v>
      </c>
      <c r="D107">
        <v>12</v>
      </c>
      <c r="J107">
        <v>2</v>
      </c>
      <c r="P107">
        <v>4</v>
      </c>
      <c r="U107" s="6">
        <v>66000</v>
      </c>
      <c r="V107" s="6">
        <v>66000</v>
      </c>
    </row>
    <row r="108" spans="1:23" x14ac:dyDescent="0.3">
      <c r="A108" s="5">
        <v>45691</v>
      </c>
      <c r="B108" s="5">
        <v>45719</v>
      </c>
      <c r="C108" t="s">
        <v>79</v>
      </c>
      <c r="D108">
        <v>5</v>
      </c>
      <c r="I108">
        <v>1</v>
      </c>
      <c r="P108">
        <v>2</v>
      </c>
      <c r="U108" s="6">
        <v>25000</v>
      </c>
      <c r="V108" s="6">
        <v>25000</v>
      </c>
    </row>
    <row r="109" spans="1:23" x14ac:dyDescent="0.3">
      <c r="A109" s="5">
        <v>45719</v>
      </c>
      <c r="B109" s="5">
        <v>45719</v>
      </c>
      <c r="C109">
        <v>0</v>
      </c>
      <c r="D109">
        <v>5</v>
      </c>
      <c r="U109" s="6">
        <v>5000</v>
      </c>
      <c r="V109" s="6">
        <v>5000</v>
      </c>
    </row>
    <row r="110" spans="1:23" x14ac:dyDescent="0.3">
      <c r="A110" s="5">
        <v>45725</v>
      </c>
      <c r="B110" s="5">
        <v>45725</v>
      </c>
      <c r="C110" t="s">
        <v>80</v>
      </c>
      <c r="D110">
        <v>2</v>
      </c>
      <c r="U110" s="6">
        <v>5000</v>
      </c>
      <c r="V110" s="6">
        <v>5000</v>
      </c>
    </row>
    <row r="111" spans="1:23" x14ac:dyDescent="0.3">
      <c r="A111" s="5">
        <v>45700</v>
      </c>
      <c r="B111" s="5">
        <v>45728</v>
      </c>
      <c r="C111" t="s">
        <v>82</v>
      </c>
      <c r="D111">
        <v>2</v>
      </c>
      <c r="I111">
        <v>1</v>
      </c>
      <c r="U111" s="6">
        <v>10000</v>
      </c>
      <c r="V111" s="6">
        <v>10000</v>
      </c>
    </row>
    <row r="112" spans="1:23" x14ac:dyDescent="0.3">
      <c r="A112" s="5">
        <v>45725</v>
      </c>
      <c r="B112" s="5">
        <v>45725</v>
      </c>
      <c r="C112" t="s">
        <v>83</v>
      </c>
      <c r="D112">
        <v>9</v>
      </c>
      <c r="J112">
        <v>1</v>
      </c>
      <c r="U112" s="6">
        <v>37500</v>
      </c>
      <c r="V112" s="6">
        <v>37500</v>
      </c>
    </row>
    <row r="113" spans="1:22" x14ac:dyDescent="0.3">
      <c r="A113" s="5">
        <v>45728</v>
      </c>
      <c r="B113" s="5">
        <v>45728</v>
      </c>
      <c r="C113" t="s">
        <v>84</v>
      </c>
      <c r="D113">
        <v>3</v>
      </c>
      <c r="J113">
        <v>1</v>
      </c>
      <c r="P113">
        <v>6</v>
      </c>
      <c r="U113" s="6">
        <v>38500</v>
      </c>
      <c r="V113" s="6">
        <v>38500</v>
      </c>
    </row>
    <row r="114" spans="1:22" x14ac:dyDescent="0.3">
      <c r="A114" s="5">
        <v>45728</v>
      </c>
      <c r="B114" s="5">
        <v>45729</v>
      </c>
      <c r="C114" t="s">
        <v>85</v>
      </c>
      <c r="J114">
        <v>25</v>
      </c>
      <c r="N114">
        <v>2</v>
      </c>
      <c r="U114" s="6">
        <v>75000</v>
      </c>
      <c r="V114" s="6">
        <v>75000</v>
      </c>
    </row>
    <row r="115" spans="1:22" x14ac:dyDescent="0.3">
      <c r="A115" s="5">
        <v>45728</v>
      </c>
      <c r="B115" s="5">
        <v>45751</v>
      </c>
      <c r="C115" t="s">
        <v>86</v>
      </c>
      <c r="D115">
        <v>3</v>
      </c>
      <c r="E115">
        <v>4</v>
      </c>
      <c r="I115">
        <v>2</v>
      </c>
      <c r="R115">
        <v>1</v>
      </c>
      <c r="U115" s="6">
        <v>0</v>
      </c>
      <c r="V115" s="6">
        <v>0</v>
      </c>
    </row>
    <row r="116" spans="1:22" x14ac:dyDescent="0.3">
      <c r="A116" s="5">
        <v>45729</v>
      </c>
      <c r="B116" s="5">
        <v>45729</v>
      </c>
      <c r="C116" t="s">
        <v>87</v>
      </c>
      <c r="D116">
        <v>1</v>
      </c>
      <c r="I116">
        <v>1</v>
      </c>
      <c r="U116" s="6">
        <v>10000</v>
      </c>
      <c r="V116" s="6">
        <v>10000</v>
      </c>
    </row>
    <row r="117" spans="1:22" x14ac:dyDescent="0.3">
      <c r="A117" s="5">
        <v>45729</v>
      </c>
      <c r="B117" s="5">
        <v>45732</v>
      </c>
      <c r="C117" t="s">
        <v>81</v>
      </c>
      <c r="D117">
        <v>25</v>
      </c>
      <c r="I117">
        <v>1</v>
      </c>
      <c r="J117">
        <v>3</v>
      </c>
      <c r="P117">
        <v>3</v>
      </c>
      <c r="U117" s="6">
        <v>137000</v>
      </c>
      <c r="V117" s="6">
        <v>100000</v>
      </c>
    </row>
    <row r="118" spans="1:22" x14ac:dyDescent="0.3">
      <c r="A118" s="5">
        <v>45731</v>
      </c>
      <c r="B118" s="13">
        <v>0</v>
      </c>
      <c r="C118" t="s">
        <v>88</v>
      </c>
      <c r="D118">
        <v>4</v>
      </c>
      <c r="G118">
        <v>1</v>
      </c>
      <c r="I118">
        <v>1</v>
      </c>
      <c r="P118">
        <v>2</v>
      </c>
      <c r="U118" s="6">
        <v>0</v>
      </c>
      <c r="V118" s="6">
        <v>0</v>
      </c>
    </row>
    <row r="119" spans="1:22" x14ac:dyDescent="0.3">
      <c r="A119" s="5">
        <v>45731</v>
      </c>
      <c r="B119" s="5">
        <v>45731</v>
      </c>
      <c r="C119" t="s">
        <v>89</v>
      </c>
      <c r="D119">
        <v>1</v>
      </c>
      <c r="E119">
        <v>1</v>
      </c>
      <c r="U119" s="6">
        <v>1500</v>
      </c>
      <c r="V119" s="6">
        <v>1500</v>
      </c>
    </row>
    <row r="120" spans="1:22" x14ac:dyDescent="0.3">
      <c r="A120" s="5">
        <v>45731</v>
      </c>
      <c r="B120" s="5">
        <v>45738</v>
      </c>
      <c r="C120" t="s">
        <v>90</v>
      </c>
      <c r="D120">
        <v>10</v>
      </c>
      <c r="E120">
        <v>3</v>
      </c>
      <c r="J120">
        <v>1</v>
      </c>
      <c r="U120" s="6">
        <v>35000</v>
      </c>
      <c r="V120" s="6">
        <v>35000</v>
      </c>
    </row>
    <row r="121" spans="1:22" x14ac:dyDescent="0.3">
      <c r="A121" s="5">
        <v>45731</v>
      </c>
      <c r="B121" s="5">
        <v>45732</v>
      </c>
      <c r="C121" t="s">
        <v>91</v>
      </c>
      <c r="D121">
        <v>2</v>
      </c>
      <c r="E121">
        <v>2</v>
      </c>
      <c r="U121" s="6">
        <v>7000</v>
      </c>
      <c r="V121" s="6">
        <v>7000</v>
      </c>
    </row>
    <row r="122" spans="1:22" x14ac:dyDescent="0.3">
      <c r="A122" s="5">
        <v>45731</v>
      </c>
      <c r="B122" s="5">
        <v>45733</v>
      </c>
      <c r="C122" t="s">
        <v>92</v>
      </c>
      <c r="D122">
        <v>4</v>
      </c>
      <c r="P122">
        <v>6</v>
      </c>
      <c r="U122" s="6">
        <v>0</v>
      </c>
      <c r="V122" s="6">
        <v>12000</v>
      </c>
    </row>
    <row r="123" spans="1:22" x14ac:dyDescent="0.3">
      <c r="A123" s="5">
        <v>45733</v>
      </c>
      <c r="B123" s="5">
        <v>45733</v>
      </c>
      <c r="C123" t="s">
        <v>93</v>
      </c>
      <c r="D123">
        <v>6</v>
      </c>
      <c r="E123">
        <v>3</v>
      </c>
      <c r="J123">
        <v>1</v>
      </c>
      <c r="U123" s="6">
        <v>34000</v>
      </c>
      <c r="V123" s="6">
        <v>34000</v>
      </c>
    </row>
    <row r="124" spans="1:22" x14ac:dyDescent="0.3">
      <c r="A124" s="5">
        <v>45737</v>
      </c>
      <c r="B124" s="13">
        <v>0</v>
      </c>
      <c r="C124" t="s">
        <v>94</v>
      </c>
      <c r="D124">
        <v>6</v>
      </c>
      <c r="E124">
        <v>12</v>
      </c>
      <c r="J124">
        <v>1</v>
      </c>
      <c r="U124" s="6">
        <v>33000</v>
      </c>
      <c r="V124" s="6">
        <v>33000</v>
      </c>
    </row>
    <row r="125" spans="1:22" x14ac:dyDescent="0.3">
      <c r="A125" s="5">
        <v>45738</v>
      </c>
      <c r="B125" s="5">
        <v>45738</v>
      </c>
      <c r="C125" t="s">
        <v>95</v>
      </c>
      <c r="D125">
        <v>4</v>
      </c>
      <c r="E125">
        <v>2</v>
      </c>
      <c r="U125" s="6">
        <v>8000</v>
      </c>
      <c r="V125" s="6">
        <v>8000</v>
      </c>
    </row>
    <row r="126" spans="1:22" x14ac:dyDescent="0.3">
      <c r="A126" s="5">
        <v>45741</v>
      </c>
      <c r="B126" s="5">
        <v>45746</v>
      </c>
      <c r="C126" t="s">
        <v>96</v>
      </c>
      <c r="D126">
        <v>2</v>
      </c>
      <c r="J126">
        <v>1</v>
      </c>
      <c r="P126">
        <v>4</v>
      </c>
      <c r="U126" s="6">
        <v>20000</v>
      </c>
      <c r="V126" s="6">
        <v>16000</v>
      </c>
    </row>
    <row r="127" spans="1:22" x14ac:dyDescent="0.3">
      <c r="A127" s="5">
        <v>45743</v>
      </c>
      <c r="B127" s="5">
        <v>45745</v>
      </c>
      <c r="C127" t="s">
        <v>97</v>
      </c>
      <c r="D127">
        <v>8</v>
      </c>
      <c r="I127">
        <v>2</v>
      </c>
      <c r="P127">
        <v>2</v>
      </c>
      <c r="U127" s="6">
        <v>40000</v>
      </c>
      <c r="V127" s="6">
        <v>40000</v>
      </c>
    </row>
    <row r="128" spans="1:22" x14ac:dyDescent="0.3">
      <c r="A128" s="5">
        <v>45744</v>
      </c>
      <c r="B128" s="5">
        <v>45745</v>
      </c>
      <c r="C128" t="s">
        <v>98</v>
      </c>
      <c r="D128">
        <v>18</v>
      </c>
      <c r="P128">
        <v>40</v>
      </c>
      <c r="R128">
        <v>3</v>
      </c>
      <c r="U128" s="6">
        <v>118600</v>
      </c>
      <c r="V128" s="6">
        <v>110000</v>
      </c>
    </row>
    <row r="129" spans="1:23" x14ac:dyDescent="0.3">
      <c r="A129" s="5">
        <v>45747</v>
      </c>
      <c r="B129" s="5">
        <v>45747</v>
      </c>
      <c r="C129" t="s">
        <v>99</v>
      </c>
      <c r="D129">
        <v>1</v>
      </c>
      <c r="U129" s="6">
        <v>2500</v>
      </c>
      <c r="V129" s="6">
        <v>2000</v>
      </c>
    </row>
    <row r="130" spans="1:23" x14ac:dyDescent="0.3">
      <c r="A130" s="5">
        <v>45745</v>
      </c>
      <c r="B130" s="5">
        <v>45745</v>
      </c>
      <c r="C130" t="s">
        <v>100</v>
      </c>
      <c r="D130">
        <v>1</v>
      </c>
      <c r="E130">
        <v>1</v>
      </c>
      <c r="U130" s="6">
        <v>4000</v>
      </c>
      <c r="V130" s="6">
        <v>4000</v>
      </c>
    </row>
    <row r="131" spans="1:23" x14ac:dyDescent="0.3">
      <c r="A131" s="5">
        <v>45750</v>
      </c>
      <c r="B131" s="13">
        <v>0</v>
      </c>
      <c r="C131" t="s">
        <v>101</v>
      </c>
      <c r="E131">
        <v>70</v>
      </c>
      <c r="U131" s="6">
        <v>35000</v>
      </c>
      <c r="V131" s="6">
        <v>35000</v>
      </c>
    </row>
    <row r="132" spans="1:23" x14ac:dyDescent="0.3">
      <c r="A132" s="5">
        <v>45765</v>
      </c>
      <c r="B132" s="13">
        <v>0</v>
      </c>
      <c r="C132" t="s">
        <v>103</v>
      </c>
      <c r="S132">
        <v>1</v>
      </c>
      <c r="U132" s="6">
        <v>2000</v>
      </c>
      <c r="V132" s="6">
        <v>2000</v>
      </c>
    </row>
    <row r="133" spans="1:23" x14ac:dyDescent="0.3">
      <c r="A133" s="5">
        <v>45758</v>
      </c>
      <c r="B133" s="5">
        <v>45758</v>
      </c>
      <c r="C133" t="s">
        <v>39</v>
      </c>
      <c r="D133">
        <v>67</v>
      </c>
      <c r="U133" s="6">
        <v>0</v>
      </c>
      <c r="V133" s="6">
        <v>35000</v>
      </c>
    </row>
    <row r="134" spans="1:23" x14ac:dyDescent="0.3">
      <c r="A134" s="5">
        <v>45767</v>
      </c>
      <c r="B134" s="5">
        <v>45767</v>
      </c>
      <c r="C134" t="s">
        <v>105</v>
      </c>
      <c r="D134">
        <v>4</v>
      </c>
      <c r="G134">
        <v>1</v>
      </c>
      <c r="I134">
        <v>1</v>
      </c>
      <c r="P134">
        <v>1</v>
      </c>
      <c r="U134" s="6">
        <v>31500</v>
      </c>
      <c r="V134" s="6">
        <v>31500</v>
      </c>
    </row>
    <row r="135" spans="1:23" x14ac:dyDescent="0.3">
      <c r="A135" s="5">
        <v>45767</v>
      </c>
      <c r="B135" s="5">
        <v>45774</v>
      </c>
      <c r="C135" t="s">
        <v>106</v>
      </c>
      <c r="D135">
        <v>25</v>
      </c>
      <c r="I135">
        <v>1</v>
      </c>
      <c r="J135">
        <v>4</v>
      </c>
      <c r="P135">
        <v>60</v>
      </c>
      <c r="U135" s="6">
        <v>200000</v>
      </c>
      <c r="V135" s="6">
        <v>200000</v>
      </c>
    </row>
    <row r="136" spans="1:23" x14ac:dyDescent="0.3">
      <c r="A136" s="5">
        <v>45767</v>
      </c>
      <c r="B136" s="5">
        <v>45774</v>
      </c>
      <c r="C136" t="s">
        <v>107</v>
      </c>
      <c r="D136">
        <v>3</v>
      </c>
      <c r="I136">
        <v>1</v>
      </c>
      <c r="P136">
        <v>5</v>
      </c>
      <c r="U136" s="6">
        <v>26000</v>
      </c>
      <c r="V136" s="6">
        <v>0</v>
      </c>
    </row>
    <row r="137" spans="1:23" x14ac:dyDescent="0.3">
      <c r="A137" s="5">
        <v>45772</v>
      </c>
      <c r="B137" s="5">
        <v>45772</v>
      </c>
      <c r="C137" t="s">
        <v>52</v>
      </c>
      <c r="D137">
        <v>3</v>
      </c>
      <c r="I137">
        <v>1</v>
      </c>
      <c r="U137" s="6">
        <v>0</v>
      </c>
      <c r="V137" s="6">
        <v>18000</v>
      </c>
    </row>
    <row r="138" spans="1:23" x14ac:dyDescent="0.3">
      <c r="A138" s="5">
        <v>45772</v>
      </c>
      <c r="B138" s="13">
        <v>0</v>
      </c>
      <c r="C138" t="s">
        <v>108</v>
      </c>
      <c r="D138">
        <v>5</v>
      </c>
      <c r="U138" s="6">
        <v>5000</v>
      </c>
      <c r="V138" s="6">
        <v>3000</v>
      </c>
    </row>
    <row r="139" spans="1:23" x14ac:dyDescent="0.3">
      <c r="A139" s="5">
        <v>45773</v>
      </c>
      <c r="B139" s="13">
        <v>0</v>
      </c>
      <c r="C139">
        <v>0</v>
      </c>
      <c r="D139">
        <v>5</v>
      </c>
      <c r="E139">
        <v>21</v>
      </c>
      <c r="U139" s="6">
        <v>16000</v>
      </c>
      <c r="V139" s="6">
        <v>16000</v>
      </c>
    </row>
    <row r="140" spans="1:23" x14ac:dyDescent="0.3">
      <c r="A140" s="5">
        <v>45773</v>
      </c>
      <c r="B140" s="13">
        <v>0</v>
      </c>
      <c r="C140" t="s">
        <v>65</v>
      </c>
      <c r="E140">
        <v>36</v>
      </c>
      <c r="U140" s="6">
        <v>18000</v>
      </c>
      <c r="V140" s="6">
        <v>18000</v>
      </c>
    </row>
    <row r="141" spans="1:23" x14ac:dyDescent="0.3">
      <c r="A141" s="5">
        <v>45778</v>
      </c>
      <c r="B141" s="13">
        <v>0</v>
      </c>
      <c r="C141">
        <v>0</v>
      </c>
      <c r="D141">
        <v>1</v>
      </c>
      <c r="U141" s="6">
        <v>2000</v>
      </c>
      <c r="V141" s="6">
        <v>2000</v>
      </c>
    </row>
    <row r="142" spans="1:23" x14ac:dyDescent="0.3">
      <c r="A142" s="5">
        <v>45780</v>
      </c>
      <c r="B142" s="5">
        <v>45780</v>
      </c>
      <c r="C142" t="s">
        <v>110</v>
      </c>
      <c r="D142">
        <v>25</v>
      </c>
      <c r="E142">
        <v>50</v>
      </c>
      <c r="F142">
        <v>2</v>
      </c>
      <c r="I142">
        <v>2</v>
      </c>
      <c r="M142">
        <v>1</v>
      </c>
      <c r="R142">
        <v>5</v>
      </c>
      <c r="U142" s="6">
        <v>90000</v>
      </c>
      <c r="V142" s="6">
        <v>90000</v>
      </c>
    </row>
    <row r="143" spans="1:23" x14ac:dyDescent="0.3">
      <c r="A143" s="5">
        <v>45780</v>
      </c>
      <c r="B143" s="5">
        <v>45807</v>
      </c>
      <c r="C143" t="s">
        <v>111</v>
      </c>
      <c r="D143">
        <v>25</v>
      </c>
      <c r="I143">
        <v>2</v>
      </c>
      <c r="P143">
        <v>50</v>
      </c>
      <c r="R143">
        <v>8</v>
      </c>
      <c r="U143" s="6">
        <v>157000</v>
      </c>
      <c r="V143" s="6">
        <v>100000</v>
      </c>
      <c r="W143">
        <v>10</v>
      </c>
    </row>
    <row r="144" spans="1:23" x14ac:dyDescent="0.3">
      <c r="A144" s="5">
        <v>45781</v>
      </c>
      <c r="B144" s="13">
        <v>0</v>
      </c>
      <c r="C144" t="s">
        <v>112</v>
      </c>
      <c r="P144">
        <v>20</v>
      </c>
      <c r="U144" s="6">
        <v>89000</v>
      </c>
      <c r="V144" s="6">
        <v>89000</v>
      </c>
      <c r="W144">
        <v>10</v>
      </c>
    </row>
    <row r="145" spans="1:23" x14ac:dyDescent="0.3">
      <c r="A145" s="5">
        <v>45784</v>
      </c>
      <c r="B145" s="5">
        <v>45787</v>
      </c>
      <c r="C145" t="s">
        <v>113</v>
      </c>
      <c r="D145">
        <v>10</v>
      </c>
      <c r="U145" s="6">
        <v>7000</v>
      </c>
      <c r="V145" s="6">
        <v>7000</v>
      </c>
    </row>
    <row r="146" spans="1:23" x14ac:dyDescent="0.3">
      <c r="A146" s="5">
        <v>45785</v>
      </c>
      <c r="B146" s="5">
        <v>45786</v>
      </c>
      <c r="C146" t="s">
        <v>114</v>
      </c>
      <c r="D146">
        <v>15</v>
      </c>
      <c r="L146">
        <v>1</v>
      </c>
      <c r="U146" s="6">
        <v>18000</v>
      </c>
      <c r="V146" s="6">
        <v>18000</v>
      </c>
    </row>
    <row r="147" spans="1:23" x14ac:dyDescent="0.3">
      <c r="A147" s="5">
        <v>45792</v>
      </c>
      <c r="B147" s="13">
        <v>0</v>
      </c>
      <c r="C147" t="s">
        <v>115</v>
      </c>
      <c r="F147">
        <v>2</v>
      </c>
      <c r="I147">
        <v>4</v>
      </c>
      <c r="U147" s="6">
        <v>30000</v>
      </c>
      <c r="V147" s="6">
        <v>30000</v>
      </c>
    </row>
    <row r="148" spans="1:23" x14ac:dyDescent="0.3">
      <c r="A148" s="5">
        <v>45790</v>
      </c>
      <c r="B148" s="5">
        <v>45816</v>
      </c>
      <c r="C148" t="s">
        <v>107</v>
      </c>
      <c r="L148">
        <v>1</v>
      </c>
      <c r="U148" s="6">
        <v>0</v>
      </c>
      <c r="V148" s="6">
        <v>0</v>
      </c>
    </row>
    <row r="149" spans="1:23" x14ac:dyDescent="0.3">
      <c r="A149" s="5">
        <v>45780</v>
      </c>
      <c r="B149" s="5">
        <v>45814</v>
      </c>
      <c r="C149" t="s">
        <v>117</v>
      </c>
      <c r="D149">
        <v>2</v>
      </c>
      <c r="I149">
        <v>1</v>
      </c>
      <c r="P149">
        <v>4</v>
      </c>
      <c r="U149" s="6">
        <v>15000</v>
      </c>
      <c r="V149" s="6">
        <v>15000</v>
      </c>
    </row>
    <row r="150" spans="1:23" x14ac:dyDescent="0.3">
      <c r="A150" s="5">
        <v>0</v>
      </c>
      <c r="B150" s="5">
        <v>45906</v>
      </c>
      <c r="C150" t="s">
        <v>41</v>
      </c>
      <c r="D150">
        <v>3</v>
      </c>
      <c r="E150">
        <v>20</v>
      </c>
      <c r="I150">
        <v>1</v>
      </c>
      <c r="U150">
        <v>21000</v>
      </c>
      <c r="V150">
        <v>21000</v>
      </c>
    </row>
    <row r="151" spans="1:23" x14ac:dyDescent="0.3">
      <c r="A151" s="5">
        <v>0</v>
      </c>
      <c r="B151" s="5">
        <v>45814</v>
      </c>
      <c r="C151" t="s">
        <v>144</v>
      </c>
      <c r="D151">
        <v>2</v>
      </c>
      <c r="E151">
        <v>20</v>
      </c>
      <c r="I151">
        <v>1</v>
      </c>
      <c r="U151" s="6">
        <v>21000</v>
      </c>
      <c r="V151" s="6">
        <v>21000</v>
      </c>
    </row>
    <row r="152" spans="1:23" x14ac:dyDescent="0.3">
      <c r="A152" s="5">
        <v>0</v>
      </c>
      <c r="B152" s="5">
        <v>45814</v>
      </c>
      <c r="C152" t="s">
        <v>271</v>
      </c>
      <c r="D152">
        <v>1</v>
      </c>
      <c r="I152">
        <v>1</v>
      </c>
      <c r="U152" s="6">
        <v>12500</v>
      </c>
      <c r="V152" s="6">
        <v>12500</v>
      </c>
    </row>
    <row r="153" spans="1:23" x14ac:dyDescent="0.3">
      <c r="A153" s="5">
        <v>0</v>
      </c>
      <c r="B153" s="5">
        <v>45814</v>
      </c>
      <c r="C153" t="s">
        <v>147</v>
      </c>
      <c r="I153">
        <v>1</v>
      </c>
      <c r="U153" s="6">
        <v>7000</v>
      </c>
      <c r="V153" s="6">
        <v>7000</v>
      </c>
    </row>
    <row r="154" spans="1:23" x14ac:dyDescent="0.3">
      <c r="A154" s="5">
        <v>0</v>
      </c>
      <c r="B154" s="5">
        <v>45844</v>
      </c>
      <c r="C154" t="s">
        <v>272</v>
      </c>
      <c r="I154">
        <v>1</v>
      </c>
      <c r="M154">
        <v>1</v>
      </c>
      <c r="P154">
        <v>20</v>
      </c>
      <c r="U154" s="6">
        <v>130000</v>
      </c>
      <c r="V154" s="6">
        <v>130000</v>
      </c>
      <c r="W154">
        <v>6</v>
      </c>
    </row>
    <row r="155" spans="1:23" x14ac:dyDescent="0.3">
      <c r="A155" s="5">
        <v>0</v>
      </c>
      <c r="B155" s="5">
        <v>45814</v>
      </c>
      <c r="C155" t="s">
        <v>273</v>
      </c>
      <c r="D155">
        <v>4</v>
      </c>
      <c r="I155">
        <v>2</v>
      </c>
      <c r="P155">
        <v>3</v>
      </c>
      <c r="R155">
        <v>1</v>
      </c>
      <c r="U155" s="6">
        <v>35000</v>
      </c>
      <c r="V155" s="6">
        <v>35000</v>
      </c>
    </row>
    <row r="156" spans="1:23" x14ac:dyDescent="0.3">
      <c r="A156" s="5">
        <v>0</v>
      </c>
      <c r="B156" s="5">
        <v>45814</v>
      </c>
      <c r="C156" t="s">
        <v>274</v>
      </c>
      <c r="D156">
        <v>4</v>
      </c>
      <c r="U156" s="6">
        <v>8000</v>
      </c>
      <c r="V156" s="6">
        <v>8000</v>
      </c>
    </row>
    <row r="157" spans="1:23" x14ac:dyDescent="0.3">
      <c r="A157" s="5">
        <v>0</v>
      </c>
      <c r="B157" s="5">
        <v>45875</v>
      </c>
      <c r="C157" t="s">
        <v>275</v>
      </c>
      <c r="D157">
        <v>1</v>
      </c>
      <c r="I157">
        <v>1</v>
      </c>
      <c r="U157" s="6">
        <v>20000</v>
      </c>
      <c r="V157" s="6">
        <v>20000</v>
      </c>
    </row>
    <row r="158" spans="1:23" x14ac:dyDescent="0.3">
      <c r="A158" s="5">
        <v>0</v>
      </c>
      <c r="B158" s="5">
        <v>45875</v>
      </c>
      <c r="C158" t="s">
        <v>276</v>
      </c>
      <c r="I158">
        <v>2</v>
      </c>
      <c r="J158">
        <v>2</v>
      </c>
      <c r="P158">
        <v>10</v>
      </c>
      <c r="R158">
        <v>2</v>
      </c>
      <c r="U158" s="6">
        <v>100000</v>
      </c>
      <c r="V158" s="6">
        <v>100000</v>
      </c>
      <c r="W158">
        <v>12</v>
      </c>
    </row>
    <row r="159" spans="1:23" x14ac:dyDescent="0.3">
      <c r="A159" s="5">
        <v>0</v>
      </c>
      <c r="B159" s="5">
        <v>45814</v>
      </c>
      <c r="C159" t="s">
        <v>277</v>
      </c>
      <c r="D159">
        <v>5</v>
      </c>
      <c r="E159">
        <v>4</v>
      </c>
      <c r="J159">
        <v>1</v>
      </c>
      <c r="U159" s="6">
        <v>34000</v>
      </c>
      <c r="V159" s="6">
        <v>34000</v>
      </c>
    </row>
    <row r="160" spans="1:23" x14ac:dyDescent="0.3">
      <c r="A160" s="5">
        <v>0</v>
      </c>
      <c r="B160" s="5">
        <v>45449</v>
      </c>
      <c r="C160" t="s">
        <v>139</v>
      </c>
      <c r="D160">
        <v>3</v>
      </c>
      <c r="I160">
        <v>1</v>
      </c>
      <c r="R160">
        <v>1</v>
      </c>
      <c r="U160" s="6">
        <v>35000</v>
      </c>
      <c r="V160" s="6">
        <v>35000</v>
      </c>
    </row>
    <row r="161" spans="1:23" x14ac:dyDescent="0.3">
      <c r="A161" s="5">
        <v>0</v>
      </c>
      <c r="B161" s="5">
        <v>45844</v>
      </c>
      <c r="C161" t="s">
        <v>155</v>
      </c>
      <c r="J161">
        <v>1</v>
      </c>
      <c r="P161">
        <v>12</v>
      </c>
      <c r="R161">
        <v>2</v>
      </c>
      <c r="U161" s="6">
        <v>30000</v>
      </c>
      <c r="V161" s="6">
        <v>30000</v>
      </c>
      <c r="W161">
        <v>5</v>
      </c>
    </row>
    <row r="162" spans="1:23" x14ac:dyDescent="0.3">
      <c r="A162" s="5">
        <v>0</v>
      </c>
      <c r="B162" s="5">
        <v>45875</v>
      </c>
      <c r="C162" t="s">
        <v>278</v>
      </c>
      <c r="D162">
        <v>4</v>
      </c>
      <c r="I162">
        <v>1</v>
      </c>
      <c r="J162">
        <v>1</v>
      </c>
      <c r="U162" s="6">
        <v>15000</v>
      </c>
      <c r="V162" s="6">
        <v>15000</v>
      </c>
    </row>
    <row r="163" spans="1:23" x14ac:dyDescent="0.3">
      <c r="A163" s="5">
        <v>0</v>
      </c>
      <c r="B163" s="5">
        <v>45814</v>
      </c>
      <c r="C163" t="s">
        <v>279</v>
      </c>
      <c r="D163">
        <v>4</v>
      </c>
      <c r="F163">
        <v>8</v>
      </c>
      <c r="I163">
        <v>1</v>
      </c>
      <c r="J163">
        <v>1</v>
      </c>
    </row>
    <row r="164" spans="1:23" x14ac:dyDescent="0.3">
      <c r="A164" s="5">
        <v>0</v>
      </c>
      <c r="B164" s="5">
        <v>45814</v>
      </c>
      <c r="C164" t="s">
        <v>280</v>
      </c>
      <c r="D164">
        <v>2</v>
      </c>
      <c r="I164">
        <v>2</v>
      </c>
    </row>
    <row r="165" spans="1:23" x14ac:dyDescent="0.3">
      <c r="A165" s="5">
        <v>0</v>
      </c>
      <c r="B165" s="5">
        <v>45814</v>
      </c>
      <c r="C165" t="s">
        <v>281</v>
      </c>
      <c r="I165">
        <v>1</v>
      </c>
      <c r="U165" s="6">
        <v>5000</v>
      </c>
      <c r="V165" s="6">
        <v>5000</v>
      </c>
    </row>
    <row r="166" spans="1:23" x14ac:dyDescent="0.3">
      <c r="A166" s="5">
        <v>0</v>
      </c>
      <c r="B166" s="5">
        <v>45814</v>
      </c>
      <c r="C166" t="s">
        <v>282</v>
      </c>
      <c r="D166">
        <v>1</v>
      </c>
      <c r="I166">
        <v>1</v>
      </c>
      <c r="U166" s="6">
        <v>10000</v>
      </c>
      <c r="V166" s="6">
        <v>10000</v>
      </c>
    </row>
    <row r="167" spans="1:23" x14ac:dyDescent="0.3">
      <c r="A167" s="5">
        <v>0</v>
      </c>
      <c r="B167" s="5">
        <v>45814</v>
      </c>
      <c r="C167" t="s">
        <v>283</v>
      </c>
      <c r="D167">
        <v>1</v>
      </c>
      <c r="I167">
        <v>1</v>
      </c>
      <c r="U167" s="6">
        <v>15000</v>
      </c>
      <c r="V167" s="6">
        <v>15000</v>
      </c>
    </row>
    <row r="168" spans="1:23" x14ac:dyDescent="0.3">
      <c r="A168" s="5">
        <v>0</v>
      </c>
      <c r="B168" s="5">
        <v>45844</v>
      </c>
      <c r="C168" t="s">
        <v>284</v>
      </c>
      <c r="D168">
        <v>5</v>
      </c>
      <c r="I168">
        <v>2</v>
      </c>
      <c r="J168">
        <v>1</v>
      </c>
      <c r="U168" s="6">
        <v>45000</v>
      </c>
      <c r="V168" s="6">
        <v>45000</v>
      </c>
    </row>
    <row r="169" spans="1:23" x14ac:dyDescent="0.3">
      <c r="A169" s="5">
        <v>0</v>
      </c>
      <c r="B169" s="5">
        <v>45814</v>
      </c>
      <c r="C169" t="s">
        <v>285</v>
      </c>
      <c r="D169">
        <v>1</v>
      </c>
      <c r="I169">
        <v>1</v>
      </c>
      <c r="U169" s="6">
        <v>7000</v>
      </c>
      <c r="V169" s="6">
        <v>7000</v>
      </c>
    </row>
    <row r="170" spans="1:23" x14ac:dyDescent="0.3">
      <c r="A170" s="5">
        <v>0</v>
      </c>
      <c r="B170" s="5">
        <v>45814</v>
      </c>
      <c r="C170" t="s">
        <v>286</v>
      </c>
      <c r="D170">
        <v>2</v>
      </c>
      <c r="U170" s="6">
        <v>5000</v>
      </c>
      <c r="V170" s="6">
        <v>5000</v>
      </c>
    </row>
    <row r="171" spans="1:23" x14ac:dyDescent="0.3">
      <c r="A171" s="5">
        <v>0</v>
      </c>
      <c r="B171" s="5">
        <v>45814</v>
      </c>
      <c r="C171" t="s">
        <v>287</v>
      </c>
      <c r="D171">
        <v>2</v>
      </c>
      <c r="U171" s="6">
        <v>5000</v>
      </c>
      <c r="V171" s="6">
        <v>5000</v>
      </c>
    </row>
    <row r="172" spans="1:23" x14ac:dyDescent="0.3">
      <c r="A172" s="5">
        <v>0</v>
      </c>
      <c r="B172" s="5">
        <v>45844</v>
      </c>
      <c r="C172" t="s">
        <v>288</v>
      </c>
      <c r="D172">
        <v>2</v>
      </c>
      <c r="E172">
        <v>3</v>
      </c>
      <c r="U172" s="6">
        <v>7000</v>
      </c>
      <c r="V172" s="6">
        <v>7000</v>
      </c>
    </row>
  </sheetData>
  <autoFilter ref="A1:W172" xr:uid="{B412140E-2549-4590-80C0-D7C046BA51D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0F9D9-9928-4210-9C99-836B3417FD72}">
  <sheetPr codeName="Sheet4"/>
  <dimension ref="C4:Y23"/>
  <sheetViews>
    <sheetView workbookViewId="0">
      <selection activeCell="F7" sqref="F7:F23"/>
    </sheetView>
  </sheetViews>
  <sheetFormatPr defaultRowHeight="14.4" x14ac:dyDescent="0.3"/>
  <sheetData>
    <row r="4" spans="3:25" x14ac:dyDescent="0.3">
      <c r="F4" t="s">
        <v>119</v>
      </c>
      <c r="G4" t="s">
        <v>120</v>
      </c>
      <c r="H4" t="s">
        <v>121</v>
      </c>
      <c r="I4" t="s">
        <v>124</v>
      </c>
      <c r="J4" t="s">
        <v>125</v>
      </c>
      <c r="K4" t="s">
        <v>126</v>
      </c>
      <c r="L4" t="s">
        <v>127</v>
      </c>
      <c r="M4" t="s">
        <v>40</v>
      </c>
      <c r="N4" t="s">
        <v>45</v>
      </c>
      <c r="O4" t="s">
        <v>128</v>
      </c>
      <c r="P4" t="s">
        <v>129</v>
      </c>
      <c r="Q4" t="s">
        <v>40</v>
      </c>
      <c r="R4" t="s">
        <v>130</v>
      </c>
      <c r="S4" t="s">
        <v>131</v>
      </c>
      <c r="T4" t="s">
        <v>122</v>
      </c>
      <c r="U4" t="s">
        <v>123</v>
      </c>
      <c r="V4" t="s">
        <v>132</v>
      </c>
      <c r="W4" s="6" t="s">
        <v>4</v>
      </c>
      <c r="X4" s="6" t="s">
        <v>5</v>
      </c>
      <c r="Y4" s="1" t="s">
        <v>140</v>
      </c>
    </row>
    <row r="6" spans="3:25" x14ac:dyDescent="0.3">
      <c r="C6" t="s">
        <v>269</v>
      </c>
      <c r="F6" t="s">
        <v>270</v>
      </c>
    </row>
    <row r="7" spans="3:25" x14ac:dyDescent="0.3">
      <c r="C7" t="s">
        <v>118</v>
      </c>
      <c r="F7" t="s">
        <v>119</v>
      </c>
      <c r="Q7" t="s">
        <v>267</v>
      </c>
    </row>
    <row r="8" spans="3:25" x14ac:dyDescent="0.3">
      <c r="C8" s="5" t="s">
        <v>0</v>
      </c>
      <c r="F8" t="s">
        <v>120</v>
      </c>
      <c r="Q8" t="s">
        <v>268</v>
      </c>
    </row>
    <row r="9" spans="3:25" x14ac:dyDescent="0.3">
      <c r="C9" s="5" t="s">
        <v>135</v>
      </c>
      <c r="F9" t="s">
        <v>121</v>
      </c>
      <c r="Q9" t="s">
        <v>4</v>
      </c>
    </row>
    <row r="10" spans="3:25" x14ac:dyDescent="0.3">
      <c r="F10" t="s">
        <v>124</v>
      </c>
      <c r="Q10" t="s">
        <v>5</v>
      </c>
    </row>
    <row r="11" spans="3:25" x14ac:dyDescent="0.3">
      <c r="F11" t="s">
        <v>125</v>
      </c>
    </row>
    <row r="12" spans="3:25" x14ac:dyDescent="0.3">
      <c r="F12" t="s">
        <v>126</v>
      </c>
    </row>
    <row r="13" spans="3:25" x14ac:dyDescent="0.3">
      <c r="F13" t="s">
        <v>127</v>
      </c>
    </row>
    <row r="14" spans="3:25" x14ac:dyDescent="0.3">
      <c r="F14" t="s">
        <v>40</v>
      </c>
    </row>
    <row r="15" spans="3:25" x14ac:dyDescent="0.3">
      <c r="F15" t="s">
        <v>45</v>
      </c>
    </row>
    <row r="16" spans="3:25" x14ac:dyDescent="0.3">
      <c r="F16" t="s">
        <v>128</v>
      </c>
    </row>
    <row r="17" spans="6:6" x14ac:dyDescent="0.3">
      <c r="F17" t="s">
        <v>129</v>
      </c>
    </row>
    <row r="18" spans="6:6" x14ac:dyDescent="0.3">
      <c r="F18" t="s">
        <v>40</v>
      </c>
    </row>
    <row r="19" spans="6:6" x14ac:dyDescent="0.3">
      <c r="F19" t="s">
        <v>130</v>
      </c>
    </row>
    <row r="20" spans="6:6" x14ac:dyDescent="0.3">
      <c r="F20" t="s">
        <v>131</v>
      </c>
    </row>
    <row r="21" spans="6:6" x14ac:dyDescent="0.3">
      <c r="F21" t="s">
        <v>122</v>
      </c>
    </row>
    <row r="22" spans="6:6" x14ac:dyDescent="0.3">
      <c r="F22" t="s">
        <v>123</v>
      </c>
    </row>
    <row r="23" spans="6:6" x14ac:dyDescent="0.3">
      <c r="F23" s="1" t="s">
        <v>140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</vt:lpstr>
      <vt:lpstr>Dataset</vt:lpstr>
      <vt:lpstr>Dataset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Hassan Rabiu</cp:lastModifiedBy>
  <dcterms:created xsi:type="dcterms:W3CDTF">2025-08-21T11:22:55Z</dcterms:created>
  <dcterms:modified xsi:type="dcterms:W3CDTF">2025-12-11T10:47:43Z</dcterms:modified>
</cp:coreProperties>
</file>